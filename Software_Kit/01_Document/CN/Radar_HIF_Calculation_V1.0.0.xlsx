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00" tabRatio="365" activeTab="4"/>
  </bookViews>
  <sheets>
    <sheet name="Version" sheetId="1" r:id="rId1"/>
    <sheet name="Point Cloud" sheetId="4" r:id="rId2"/>
    <sheet name="Data Cube" sheetId="5" r:id="rId3"/>
    <sheet name="OtherData" sheetId="8" r:id="rId4"/>
    <sheet name="Memory" sheetId="7" r:id="rId5"/>
    <sheet name="IO" sheetId="6" r:id="rId6"/>
  </sheets>
  <calcPr calcId="144525"/>
</workbook>
</file>

<file path=xl/sharedStrings.xml><?xml version="1.0" encoding="utf-8"?>
<sst xmlns="http://schemas.openxmlformats.org/spreadsheetml/2006/main" count="1002" uniqueCount="290">
  <si>
    <t>HIF评估助手</t>
  </si>
  <si>
    <t>版本</t>
  </si>
  <si>
    <t>版本描述</t>
  </si>
  <si>
    <t>日期</t>
  </si>
  <si>
    <t>1.0.0</t>
  </si>
  <si>
    <t>初版</t>
  </si>
  <si>
    <t>1.0.1</t>
  </si>
  <si>
    <t>修正datacube发波时间估算</t>
  </si>
  <si>
    <t>1.0.2</t>
  </si>
  <si>
    <t>增加datacube最大wakeuplatency估算，memory，otherdata估算等</t>
  </si>
  <si>
    <t>1.0.3</t>
  </si>
  <si>
    <t>调整memory/IO内容，增加DataCube/PointCloud上报CPU可利用计算时间统计</t>
  </si>
  <si>
    <t>使用指引</t>
  </si>
  <si>
    <r>
      <rPr>
        <sz val="11"/>
        <color theme="1"/>
        <rFont val="等线"/>
        <charset val="134"/>
        <scheme val="minor"/>
      </rPr>
      <t>参考文档</t>
    </r>
    <r>
      <rPr>
        <b/>
        <sz val="12"/>
        <color theme="1"/>
        <rFont val="等线"/>
        <charset val="134"/>
        <scheme val="minor"/>
      </rPr>
      <t>《RS6x_7X_HIF开发_快速入门》</t>
    </r>
  </si>
  <si>
    <t>Point Cloud</t>
  </si>
  <si>
    <t>INPUT</t>
  </si>
  <si>
    <t>Radar
Param</t>
  </si>
  <si>
    <t>Frame Period</t>
  </si>
  <si>
    <t>ms</t>
  </si>
  <si>
    <t>Host
Real-Time
Param</t>
  </si>
  <si>
    <t>Response Latency</t>
  </si>
  <si>
    <t>us</t>
  </si>
  <si>
    <t>Input</t>
  </si>
  <si>
    <t>Start Freq</t>
  </si>
  <si>
    <t>GHz</t>
  </si>
  <si>
    <t>Poll Delay</t>
  </si>
  <si>
    <t>Output</t>
  </si>
  <si>
    <t>Speed Resolution</t>
  </si>
  <si>
    <t>m/s</t>
  </si>
  <si>
    <t>Packet Head Delay</t>
  </si>
  <si>
    <t>Temp Output</t>
  </si>
  <si>
    <t>Range Resolution</t>
  </si>
  <si>
    <t>m</t>
  </si>
  <si>
    <t>Inter-Packet Delay</t>
  </si>
  <si>
    <t>Max Speed</t>
  </si>
  <si>
    <t>Max Distance</t>
  </si>
  <si>
    <t>Other
Param</t>
  </si>
  <si>
    <t>Motion Point Clout</t>
  </si>
  <si>
    <t>Antenna Mode</t>
  </si>
  <si>
    <t>2T4R</t>
  </si>
  <si>
    <t>Presence Point Cloud</t>
  </si>
  <si>
    <t>Frame Structure</t>
  </si>
  <si>
    <t>2DFFT</t>
  </si>
  <si>
    <t>Other time</t>
  </si>
  <si>
    <t>Device Cache Frames</t>
  </si>
  <si>
    <t>Comm
Param</t>
  </si>
  <si>
    <t>UART</t>
  </si>
  <si>
    <t>bps</t>
  </si>
  <si>
    <t>Host Cache Frames</t>
  </si>
  <si>
    <t>Stand SPI</t>
  </si>
  <si>
    <t>Hz</t>
  </si>
  <si>
    <t>Host CPU Utilization Rate</t>
  </si>
  <si>
    <t>%</t>
  </si>
  <si>
    <t>Proportion of CPU involvement computation during host transmission</t>
  </si>
  <si>
    <t>Dual SPI</t>
  </si>
  <si>
    <t>Quad SPI</t>
  </si>
  <si>
    <t>Radar Config</t>
  </si>
  <si>
    <t>Radar TxDuration</t>
  </si>
  <si>
    <t>I2C</t>
  </si>
  <si>
    <t>Point Cloud Calc Time</t>
  </si>
  <si>
    <t>OUTPUT</t>
  </si>
  <si>
    <t>Types</t>
  </si>
  <si>
    <t>Device Param (Fixed trans data size)</t>
  </si>
  <si>
    <t>Device Param (Fixed trans bandwidth)</t>
  </si>
  <si>
    <t>Host param</t>
  </si>
  <si>
    <t>Trans Time (ms)</t>
  </si>
  <si>
    <t>Device Idle time (ms)</t>
  </si>
  <si>
    <t>Max trans data(Bytes)</t>
  </si>
  <si>
    <t>Max trasn point cloud</t>
  </si>
  <si>
    <t>Trans Idle time</t>
  </si>
  <si>
    <t>Max response latency</t>
  </si>
  <si>
    <t>Max Calc time</t>
  </si>
  <si>
    <r>
      <rPr>
        <b/>
        <sz val="14"/>
        <color theme="0"/>
        <rFont val="思源黑体 CN Medium"/>
        <charset val="134"/>
      </rPr>
      <t>计算过程（用户无需关注）</t>
    </r>
  </si>
  <si>
    <r>
      <rPr>
        <sz val="11"/>
        <color theme="1"/>
        <rFont val="Calibri"/>
        <charset val="134"/>
      </rPr>
      <t xml:space="preserve">1. </t>
    </r>
    <r>
      <rPr>
        <sz val="11"/>
        <color theme="1"/>
        <rFont val="等线"/>
        <charset val="134"/>
      </rPr>
      <t>时间计算</t>
    </r>
  </si>
  <si>
    <r>
      <rPr>
        <sz val="11"/>
        <color theme="1"/>
        <rFont val="Calibri"/>
        <charset val="134"/>
      </rPr>
      <t xml:space="preserve">1.1 </t>
    </r>
    <r>
      <rPr>
        <sz val="11"/>
        <color theme="1"/>
        <rFont val="等线"/>
        <charset val="134"/>
      </rPr>
      <t>发波时间计算</t>
    </r>
  </si>
  <si>
    <t>Interval</t>
  </si>
  <si>
    <t>chirptime</t>
  </si>
  <si>
    <t>Interval Chip N</t>
  </si>
  <si>
    <t>Range FFT</t>
  </si>
  <si>
    <t>Doupper FFT</t>
  </si>
  <si>
    <r>
      <rPr>
        <sz val="11"/>
        <rFont val="等线"/>
        <charset val="134"/>
      </rPr>
      <t>雷达发射时长</t>
    </r>
  </si>
  <si>
    <r>
      <rPr>
        <sz val="11"/>
        <color theme="1"/>
        <rFont val="Calibri"/>
        <charset val="134"/>
      </rPr>
      <t xml:space="preserve">1.2 </t>
    </r>
    <r>
      <rPr>
        <sz val="11"/>
        <color theme="1"/>
        <rFont val="等线"/>
        <charset val="134"/>
      </rPr>
      <t>点云计算时间</t>
    </r>
  </si>
  <si>
    <r>
      <rPr>
        <sz val="11"/>
        <rFont val="等线"/>
        <charset val="134"/>
      </rPr>
      <t>移动点云计算时间</t>
    </r>
  </si>
  <si>
    <r>
      <rPr>
        <sz val="11"/>
        <rFont val="等线"/>
        <charset val="134"/>
      </rPr>
      <t>每个移动点云计算时间</t>
    </r>
  </si>
  <si>
    <r>
      <rPr>
        <sz val="11"/>
        <color theme="1"/>
        <rFont val="Calibri"/>
        <charset val="134"/>
      </rPr>
      <t>us/</t>
    </r>
    <r>
      <rPr>
        <sz val="11"/>
        <color theme="1"/>
        <rFont val="等线"/>
        <charset val="134"/>
      </rPr>
      <t>个</t>
    </r>
  </si>
  <si>
    <r>
      <rPr>
        <sz val="11"/>
        <rFont val="等线"/>
        <charset val="134"/>
      </rPr>
      <t>点云计算时间</t>
    </r>
  </si>
  <si>
    <r>
      <rPr>
        <sz val="11"/>
        <rFont val="等线"/>
        <charset val="134"/>
      </rPr>
      <t>微动点云计算时间</t>
    </r>
  </si>
  <si>
    <r>
      <rPr>
        <sz val="11"/>
        <color theme="1"/>
        <rFont val="Calibri"/>
        <charset val="134"/>
      </rPr>
      <t>ms/</t>
    </r>
    <r>
      <rPr>
        <sz val="11"/>
        <color theme="1"/>
        <rFont val="等线"/>
        <charset val="134"/>
      </rPr>
      <t>帧</t>
    </r>
  </si>
  <si>
    <r>
      <rPr>
        <sz val="11"/>
        <color theme="1"/>
        <rFont val="Calibri"/>
        <charset val="134"/>
      </rPr>
      <t xml:space="preserve">2. </t>
    </r>
    <r>
      <rPr>
        <sz val="11"/>
        <color theme="1"/>
        <rFont val="等线"/>
        <charset val="134"/>
      </rPr>
      <t>计算原始数据量</t>
    </r>
  </si>
  <si>
    <r>
      <rPr>
        <sz val="11"/>
        <color theme="1"/>
        <rFont val="Calibri"/>
        <charset val="134"/>
      </rPr>
      <t xml:space="preserve">2.1 </t>
    </r>
    <r>
      <rPr>
        <sz val="11"/>
        <color theme="1"/>
        <rFont val="等线"/>
        <charset val="134"/>
      </rPr>
      <t>点云数据量</t>
    </r>
  </si>
  <si>
    <r>
      <rPr>
        <sz val="11"/>
        <color theme="1"/>
        <rFont val="等线"/>
        <charset val="134"/>
      </rPr>
      <t>单个点云存储空间</t>
    </r>
  </si>
  <si>
    <t>Bytes</t>
  </si>
  <si>
    <r>
      <rPr>
        <sz val="11"/>
        <color theme="1"/>
        <rFont val="等线"/>
        <charset val="134"/>
      </rPr>
      <t>点云传输</t>
    </r>
    <r>
      <rPr>
        <sz val="11"/>
        <color theme="1"/>
        <rFont val="Calibri"/>
        <charset val="134"/>
      </rPr>
      <t>/</t>
    </r>
    <r>
      <rPr>
        <sz val="11"/>
        <color theme="1"/>
        <rFont val="等线"/>
        <charset val="134"/>
      </rPr>
      <t>存储头大小</t>
    </r>
  </si>
  <si>
    <r>
      <rPr>
        <sz val="11"/>
        <color theme="1"/>
        <rFont val="等线"/>
        <charset val="134"/>
      </rPr>
      <t>点云总个数</t>
    </r>
  </si>
  <si>
    <r>
      <rPr>
        <sz val="11"/>
        <color theme="1"/>
        <rFont val="等线"/>
        <charset val="134"/>
      </rPr>
      <t>个</t>
    </r>
  </si>
  <si>
    <r>
      <rPr>
        <sz val="11"/>
        <color theme="1"/>
        <rFont val="等线"/>
        <charset val="134"/>
      </rPr>
      <t>移动点云</t>
    </r>
  </si>
  <si>
    <r>
      <rPr>
        <sz val="11"/>
        <color theme="1"/>
        <rFont val="等线"/>
        <charset val="134"/>
      </rPr>
      <t>微动点云</t>
    </r>
  </si>
  <si>
    <r>
      <rPr>
        <sz val="11"/>
        <color theme="1"/>
        <rFont val="等线"/>
        <charset val="134"/>
      </rPr>
      <t>总大小</t>
    </r>
  </si>
  <si>
    <r>
      <rPr>
        <sz val="11"/>
        <color theme="1"/>
        <rFont val="等线"/>
        <charset val="134"/>
      </rPr>
      <t>（点云总个数</t>
    </r>
    <r>
      <rPr>
        <sz val="11"/>
        <color theme="1"/>
        <rFont val="Calibri"/>
        <charset val="134"/>
      </rPr>
      <t>x</t>
    </r>
    <r>
      <rPr>
        <sz val="11"/>
        <color theme="1"/>
        <rFont val="等线"/>
        <charset val="134"/>
      </rPr>
      <t>单个点云存储空间</t>
    </r>
    <r>
      <rPr>
        <sz val="11"/>
        <color theme="1"/>
        <rFont val="Calibri"/>
        <charset val="134"/>
      </rPr>
      <t xml:space="preserve"> + </t>
    </r>
    <r>
      <rPr>
        <sz val="11"/>
        <color theme="1"/>
        <rFont val="等线"/>
        <charset val="134"/>
      </rPr>
      <t>点云传输</t>
    </r>
    <r>
      <rPr>
        <sz val="11"/>
        <color theme="1"/>
        <rFont val="Calibri"/>
        <charset val="134"/>
      </rPr>
      <t>/</t>
    </r>
    <r>
      <rPr>
        <sz val="11"/>
        <color theme="1"/>
        <rFont val="等线"/>
        <charset val="134"/>
      </rPr>
      <t>存储头大小）</t>
    </r>
  </si>
  <si>
    <r>
      <rPr>
        <sz val="11"/>
        <color theme="1"/>
        <rFont val="Calibri"/>
        <charset val="134"/>
      </rPr>
      <t xml:space="preserve">2.2 </t>
    </r>
    <r>
      <rPr>
        <sz val="11"/>
        <color theme="1"/>
        <rFont val="等线"/>
        <charset val="134"/>
      </rPr>
      <t>点云传输帧个数</t>
    </r>
  </si>
  <si>
    <r>
      <rPr>
        <sz val="11"/>
        <color theme="1"/>
        <rFont val="等线"/>
        <charset val="134"/>
      </rPr>
      <t>每帧最多传输长度</t>
    </r>
  </si>
  <si>
    <r>
      <rPr>
        <sz val="11"/>
        <color theme="1"/>
        <rFont val="等线"/>
        <charset val="134"/>
      </rPr>
      <t>每帧额外添加长度</t>
    </r>
  </si>
  <si>
    <r>
      <rPr>
        <sz val="11"/>
        <color theme="1"/>
        <rFont val="等线"/>
        <charset val="134"/>
      </rPr>
      <t>（</t>
    </r>
    <r>
      <rPr>
        <sz val="11"/>
        <color theme="1"/>
        <rFont val="Calibri"/>
        <charset val="134"/>
      </rPr>
      <t>Frame Head + Frame Checksum</t>
    </r>
    <r>
      <rPr>
        <sz val="11"/>
        <color theme="1"/>
        <rFont val="等线"/>
        <charset val="134"/>
      </rPr>
      <t>）</t>
    </r>
  </si>
  <si>
    <t>Full-Packet Counter</t>
  </si>
  <si>
    <t>Full-Packet frame length</t>
  </si>
  <si>
    <t>Last-Packet Data Size</t>
  </si>
  <si>
    <t>Last-Packet frame length</t>
  </si>
  <si>
    <r>
      <rPr>
        <sz val="11"/>
        <color theme="1"/>
        <rFont val="Calibri"/>
        <charset val="134"/>
      </rPr>
      <t xml:space="preserve">3. </t>
    </r>
    <r>
      <rPr>
        <sz val="11"/>
        <color theme="1"/>
        <rFont val="等线"/>
        <charset val="134"/>
      </rPr>
      <t>计算时间</t>
    </r>
  </si>
  <si>
    <t>3.1 I2C</t>
  </si>
  <si>
    <r>
      <rPr>
        <sz val="11"/>
        <color theme="1"/>
        <rFont val="等线"/>
        <charset val="134"/>
      </rPr>
      <t>理想状态：</t>
    </r>
    <r>
      <rPr>
        <sz val="11"/>
        <color theme="1"/>
        <rFont val="Calibri"/>
        <charset val="134"/>
      </rPr>
      <t>Poll-Packet + N x Full-Packet(Option) + Last-Packet(Option) + Null-Packet</t>
    </r>
  </si>
  <si>
    <r>
      <rPr>
        <sz val="11"/>
        <color theme="1"/>
        <rFont val="等线"/>
        <charset val="134"/>
      </rPr>
      <t>每个</t>
    </r>
    <r>
      <rPr>
        <sz val="11"/>
        <color theme="1"/>
        <rFont val="Calibri"/>
        <charset val="134"/>
      </rPr>
      <t>Data</t>
    </r>
    <r>
      <rPr>
        <sz val="11"/>
        <color theme="1"/>
        <rFont val="等线"/>
        <charset val="134"/>
      </rPr>
      <t>转换</t>
    </r>
    <r>
      <rPr>
        <sz val="11"/>
        <color theme="1"/>
        <rFont val="Calibri"/>
        <charset val="134"/>
      </rPr>
      <t>Bits</t>
    </r>
    <r>
      <rPr>
        <sz val="11"/>
        <color theme="1"/>
        <rFont val="等线"/>
        <charset val="134"/>
      </rPr>
      <t>数</t>
    </r>
  </si>
  <si>
    <t>bits</t>
  </si>
  <si>
    <t>Address + Direct length</t>
  </si>
  <si>
    <t>Start + Stop length</t>
  </si>
  <si>
    <t>3.1.1 Poll-Packet</t>
  </si>
  <si>
    <t>Frame length</t>
  </si>
  <si>
    <t>Frame Time</t>
  </si>
  <si>
    <t>Frame bits</t>
  </si>
  <si>
    <t>3.1.2 NULL-Packet</t>
  </si>
  <si>
    <t>3.1.3 Full-Packet</t>
  </si>
  <si>
    <t>All Time</t>
  </si>
  <si>
    <t>Other Time</t>
  </si>
  <si>
    <t>3.1.4 Last-Packet</t>
  </si>
  <si>
    <t>3.1.5 Trans all data time</t>
  </si>
  <si>
    <t>3.1.6 Trans Data for radar interval</t>
  </si>
  <si>
    <t>All Trans Time</t>
  </si>
  <si>
    <t>Poll/Null/Other Time</t>
  </si>
  <si>
    <t>Trans Full-Packet Cnt</t>
  </si>
  <si>
    <t>Trans Last-Packet bits</t>
  </si>
  <si>
    <t>All Trans Data</t>
  </si>
  <si>
    <t>Trans Last-Packet Data</t>
  </si>
  <si>
    <t>2.1.7 Trans Point Cloud</t>
  </si>
  <si>
    <t>All Trans Point Cloud</t>
  </si>
  <si>
    <t>3.2 SPI</t>
  </si>
  <si>
    <t>3.2.1 Poll-Packet</t>
  </si>
  <si>
    <t>Standrd-SPI</t>
  </si>
  <si>
    <t>Dual-SPI</t>
  </si>
  <si>
    <t>Quad-SPI</t>
  </si>
  <si>
    <t>3.2.2 NULL-Packet</t>
  </si>
  <si>
    <t>3.2.3 Full-Packet</t>
  </si>
  <si>
    <t>3.2.4 Last-Packet</t>
  </si>
  <si>
    <t>3.2.5 Trans all data time</t>
  </si>
  <si>
    <t>3.2.6 Trans Data for radar interval</t>
  </si>
  <si>
    <t>Trans Bytes-Standrd</t>
  </si>
  <si>
    <t>Trans Time-Standrd</t>
  </si>
  <si>
    <t>Trans Bytes-Dual</t>
  </si>
  <si>
    <t>Trans Time-Dual</t>
  </si>
  <si>
    <t>Trans Bytes-Quad</t>
  </si>
  <si>
    <t>Trans Time-Quad</t>
  </si>
  <si>
    <t>Last-Packet-Standrd</t>
  </si>
  <si>
    <t>Full-Packet-Standrd</t>
  </si>
  <si>
    <t>Last-Packet-Dual</t>
  </si>
  <si>
    <t>Full-Packet-Dual</t>
  </si>
  <si>
    <t>Last-Packet-Quad</t>
  </si>
  <si>
    <t>Full-Packet-Quad</t>
  </si>
  <si>
    <t>Trans Data-Standrd</t>
  </si>
  <si>
    <t>Trans Data-Dual</t>
  </si>
  <si>
    <t>Trans Data-Quad</t>
  </si>
  <si>
    <t>2.2.7 Trans Point Cloud</t>
  </si>
  <si>
    <t>Point Cloud-Stand</t>
  </si>
  <si>
    <t>Point Cloud-Dual</t>
  </si>
  <si>
    <t>Point Cloud-Quad</t>
  </si>
  <si>
    <t>3.3 UART</t>
  </si>
  <si>
    <r>
      <rPr>
        <sz val="11"/>
        <color theme="1"/>
        <rFont val="等线"/>
        <charset val="134"/>
      </rPr>
      <t>理想状态：</t>
    </r>
    <r>
      <rPr>
        <sz val="11"/>
        <color theme="1"/>
        <rFont val="Calibri"/>
        <charset val="134"/>
      </rPr>
      <t>N x Full-Packet(Option) + Last-Packet(Option)</t>
    </r>
  </si>
  <si>
    <t>3.3.1 Full-Packet</t>
  </si>
  <si>
    <t>UART time</t>
  </si>
  <si>
    <t>3.3.2 Last-Packet</t>
  </si>
  <si>
    <t>3.3.3 Trans all data time</t>
  </si>
  <si>
    <t>3.3.4 Trans Data for radar interval</t>
  </si>
  <si>
    <t>Last-Packet-Time</t>
  </si>
  <si>
    <t>Full-Packet</t>
  </si>
  <si>
    <t>All Trans Bytes</t>
  </si>
  <si>
    <t>Last-Packet-Bytes</t>
  </si>
  <si>
    <t>3.3.5 Trans Point Cloud</t>
  </si>
  <si>
    <t>Data Cube</t>
  </si>
  <si>
    <t>Doppler FFT</t>
  </si>
  <si>
    <t>Data Cube size</t>
  </si>
  <si>
    <t>KB</t>
  </si>
  <si>
    <t>Max trasn data cube</t>
  </si>
  <si>
    <t>-</t>
  </si>
  <si>
    <t>Doupper FFT Time</t>
  </si>
  <si>
    <t>Doupper FFT time unit</t>
  </si>
  <si>
    <r>
      <rPr>
        <sz val="11"/>
        <color theme="1"/>
        <rFont val="Calibri"/>
        <charset val="134"/>
      </rPr>
      <t>1.2 transfer buffer</t>
    </r>
    <r>
      <rPr>
        <sz val="11"/>
        <color theme="1"/>
        <rFont val="等线"/>
        <charset val="134"/>
      </rPr>
      <t>计算</t>
    </r>
  </si>
  <si>
    <r>
      <rPr>
        <sz val="11"/>
        <rFont val="等线"/>
        <charset val="134"/>
      </rPr>
      <t>可缓存帧数</t>
    </r>
  </si>
  <si>
    <r>
      <rPr>
        <sz val="11"/>
        <rFont val="Calibri"/>
        <charset val="134"/>
      </rPr>
      <t>BufferCounter/</t>
    </r>
    <r>
      <rPr>
        <sz val="11"/>
        <rFont val="等线"/>
        <charset val="134"/>
      </rPr>
      <t>帧</t>
    </r>
  </si>
  <si>
    <r>
      <rPr>
        <sz val="11"/>
        <rFont val="等线"/>
        <charset val="134"/>
      </rPr>
      <t>最大传输数据</t>
    </r>
  </si>
  <si>
    <r>
      <rPr>
        <sz val="11"/>
        <color theme="1"/>
        <rFont val="Calibri"/>
        <charset val="134"/>
      </rPr>
      <t xml:space="preserve">1. </t>
    </r>
    <r>
      <rPr>
        <sz val="11"/>
        <color theme="1"/>
        <rFont val="等线"/>
        <charset val="134"/>
      </rPr>
      <t>计算原始数据量</t>
    </r>
  </si>
  <si>
    <r>
      <rPr>
        <sz val="11"/>
        <color theme="1"/>
        <rFont val="Calibri"/>
        <charset val="134"/>
      </rPr>
      <t xml:space="preserve">1.1 </t>
    </r>
    <r>
      <rPr>
        <sz val="11"/>
        <color theme="1"/>
        <rFont val="等线"/>
        <charset val="134"/>
      </rPr>
      <t>数据量</t>
    </r>
  </si>
  <si>
    <t>Packet Add Head</t>
  </si>
  <si>
    <t>First Packet Add Head</t>
  </si>
  <si>
    <t>Total Data Length</t>
  </si>
  <si>
    <r>
      <rPr>
        <sz val="11"/>
        <color theme="1"/>
        <rFont val="等线"/>
        <charset val="134"/>
      </rPr>
      <t>理想状态：</t>
    </r>
    <r>
      <rPr>
        <sz val="11"/>
        <color theme="1"/>
        <rFont val="Calibri"/>
        <charset val="134"/>
      </rPr>
      <t>Poll-Packet + N x Full-Packet(Option) + Last-Packet(Option)</t>
    </r>
  </si>
  <si>
    <t>Trans Time</t>
  </si>
  <si>
    <t>OtherData</t>
  </si>
  <si>
    <t>Trans data length</t>
  </si>
  <si>
    <r>
      <rPr>
        <sz val="11"/>
        <color theme="1"/>
        <rFont val="等线"/>
        <charset val="134"/>
      </rPr>
      <t>通信类型</t>
    </r>
  </si>
  <si>
    <r>
      <rPr>
        <sz val="11"/>
        <color theme="1"/>
        <rFont val="Calibri"/>
        <charset val="134"/>
      </rPr>
      <t xml:space="preserve">2.1 </t>
    </r>
    <r>
      <rPr>
        <sz val="11"/>
        <color theme="1"/>
        <rFont val="等线"/>
        <charset val="134"/>
      </rPr>
      <t>数据量</t>
    </r>
  </si>
  <si>
    <r>
      <rPr>
        <sz val="11"/>
        <color theme="1"/>
        <rFont val="Calibri"/>
        <charset val="134"/>
      </rPr>
      <t xml:space="preserve">2.2 </t>
    </r>
    <r>
      <rPr>
        <sz val="11"/>
        <color theme="1"/>
        <rFont val="等线"/>
        <charset val="134"/>
      </rPr>
      <t>传输帧个数</t>
    </r>
  </si>
  <si>
    <t>Code Size</t>
  </si>
  <si>
    <t>Device Memory</t>
  </si>
  <si>
    <t>Device Memory Size</t>
  </si>
  <si>
    <t>Flash (KB)</t>
  </si>
  <si>
    <t>SRAM (KB)</t>
  </si>
  <si>
    <r>
      <rPr>
        <sz val="11"/>
        <color theme="1"/>
        <rFont val="等线"/>
        <charset val="134"/>
      </rPr>
      <t>基础数据</t>
    </r>
    <r>
      <rPr>
        <sz val="11"/>
        <color theme="1"/>
        <rFont val="Calibri"/>
        <charset val="134"/>
      </rPr>
      <t xml:space="preserve"> (</t>
    </r>
    <r>
      <rPr>
        <sz val="11"/>
        <color theme="1"/>
        <rFont val="等线"/>
        <charset val="134"/>
      </rPr>
      <t>用户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等线"/>
        <charset val="134"/>
      </rPr>
      <t>不修改</t>
    </r>
    <r>
      <rPr>
        <sz val="11"/>
        <color theme="1"/>
        <rFont val="Calibri"/>
        <charset val="134"/>
      </rPr>
      <t>)</t>
    </r>
  </si>
  <si>
    <t>Base</t>
  </si>
  <si>
    <t>DLL</t>
  </si>
  <si>
    <t>Command/Response length(Bytes)</t>
  </si>
  <si>
    <t>Flash</t>
  </si>
  <si>
    <t>SRAM</t>
  </si>
  <si>
    <t>HIF thread stack(Bytes)</t>
  </si>
  <si>
    <t>Report data node counter</t>
  </si>
  <si>
    <t>report dara node size</t>
  </si>
  <si>
    <t xml:space="preserve"> -</t>
  </si>
  <si>
    <t>Report frame node counter</t>
  </si>
  <si>
    <t>report frame node size</t>
  </si>
  <si>
    <t>Block semaphore counter</t>
  </si>
  <si>
    <t>block semaphore size</t>
  </si>
  <si>
    <t>PHY</t>
  </si>
  <si>
    <t>SPI</t>
  </si>
  <si>
    <t>Y</t>
  </si>
  <si>
    <t>PHY-SPI</t>
  </si>
  <si>
    <t>N</t>
  </si>
  <si>
    <t>PHY-UART</t>
  </si>
  <si>
    <t>PHY-I2C</t>
  </si>
  <si>
    <t>Exten</t>
  </si>
  <si>
    <t>Split</t>
  </si>
  <si>
    <t>Split node counter</t>
  </si>
  <si>
    <t>SPLIT</t>
  </si>
  <si>
    <t>Retry</t>
  </si>
  <si>
    <t>Application layer retry</t>
  </si>
  <si>
    <t>split node size</t>
  </si>
  <si>
    <t>Transfer layer retry</t>
  </si>
  <si>
    <t>PM</t>
  </si>
  <si>
    <t>Power Manage</t>
  </si>
  <si>
    <t>App</t>
  </si>
  <si>
    <t>DataCube</t>
  </si>
  <si>
    <t>Data Cube Size(KB)</t>
  </si>
  <si>
    <t>Device cache frames</t>
  </si>
  <si>
    <t>PointCloud</t>
  </si>
  <si>
    <t>motion</t>
  </si>
  <si>
    <t>presence</t>
  </si>
  <si>
    <t>Total</t>
  </si>
  <si>
    <t>transfer node size</t>
  </si>
  <si>
    <t>Host Memory</t>
  </si>
  <si>
    <t>Host Memory Size</t>
  </si>
  <si>
    <t>Driver</t>
  </si>
  <si>
    <t>HIF host driver</t>
  </si>
  <si>
    <t>Cached frames</t>
  </si>
  <si>
    <t>Host Cached frames</t>
  </si>
  <si>
    <t>IO</t>
  </si>
  <si>
    <t>Communication Mode</t>
  </si>
  <si>
    <t>SPI-Standard</t>
  </si>
  <si>
    <t>print Output</t>
  </si>
  <si>
    <t>Type</t>
  </si>
  <si>
    <t>Func</t>
  </si>
  <si>
    <t>Pin</t>
  </si>
  <si>
    <t>Notes</t>
  </si>
  <si>
    <t>Mandatory</t>
  </si>
  <si>
    <t>UART-0</t>
  </si>
  <si>
    <t>TX</t>
  </si>
  <si>
    <t>PB0</t>
  </si>
  <si>
    <t>O</t>
  </si>
  <si>
    <t>Not-Required</t>
  </si>
  <si>
    <t>RX</t>
  </si>
  <si>
    <t>PB1</t>
  </si>
  <si>
    <t>I</t>
  </si>
  <si>
    <t>UART-1</t>
  </si>
  <si>
    <t>PA0</t>
  </si>
  <si>
    <t>PA1</t>
  </si>
  <si>
    <t>CS</t>
  </si>
  <si>
    <r>
      <rPr>
        <sz val="11"/>
        <color theme="1"/>
        <rFont val="Calibri"/>
        <charset val="134"/>
      </rPr>
      <t xml:space="preserve">When mutiple slave device are present, this IO </t>
    </r>
    <r>
      <rPr>
        <sz val="11"/>
        <color rgb="FFFF0000"/>
        <rFont val="Calibri"/>
        <charset val="134"/>
      </rPr>
      <t>cannot</t>
    </r>
    <r>
      <rPr>
        <sz val="11"/>
        <color theme="1"/>
        <rFont val="Calibri"/>
        <charset val="134"/>
      </rPr>
      <t xml:space="preserve"> be mutiplexed among all slaves.</t>
    </r>
  </si>
  <si>
    <t>CLK</t>
  </si>
  <si>
    <t>When mutiple slave device are present, this IO can be mutiplexed among all slaves.</t>
  </si>
  <si>
    <t>MOSI/IO0</t>
  </si>
  <si>
    <t>PA2</t>
  </si>
  <si>
    <t>MISO/IO1</t>
  </si>
  <si>
    <t>PA3</t>
  </si>
  <si>
    <t>IO2</t>
  </si>
  <si>
    <t>PA4</t>
  </si>
  <si>
    <t>IO3</t>
  </si>
  <si>
    <t>PA5</t>
  </si>
  <si>
    <t>SDA</t>
  </si>
  <si>
    <t>SCL</t>
  </si>
  <si>
    <t>ReportIO</t>
  </si>
  <si>
    <t>PA6</t>
  </si>
  <si>
    <t>For host read and notification and host wake-up, Madtory for data reporting over SPI/I2C</t>
  </si>
  <si>
    <t>NRST</t>
  </si>
  <si>
    <t>Reset device</t>
  </si>
  <si>
    <t>BOOT</t>
  </si>
  <si>
    <t>Enter burn mode</t>
  </si>
</sst>
</file>

<file path=xl/styles.xml><?xml version="1.0" encoding="utf-8"?>
<styleSheet xmlns="http://schemas.openxmlformats.org/spreadsheetml/2006/main">
  <numFmts count="12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0_);[Red]\(0\)"/>
    <numFmt numFmtId="177" formatCode="0.00_ ;[Red]\-0.00\ "/>
    <numFmt numFmtId="178" formatCode="0.00;[Red]0.00"/>
    <numFmt numFmtId="179" formatCode="0.00_ "/>
    <numFmt numFmtId="180" formatCode="0.0_ "/>
    <numFmt numFmtId="181" formatCode="0_ "/>
    <numFmt numFmtId="182" formatCode="0;[Red]0"/>
    <numFmt numFmtId="183" formatCode="0_ ;[Red]\-0\ "/>
  </numFmts>
  <fonts count="48">
    <font>
      <sz val="11"/>
      <color theme="1"/>
      <name val="等线"/>
      <charset val="134"/>
      <scheme val="minor"/>
    </font>
    <font>
      <sz val="11"/>
      <color theme="1"/>
      <name val="Calibri"/>
      <charset val="134"/>
    </font>
    <font>
      <b/>
      <sz val="22"/>
      <color theme="0"/>
      <name val="Calibri"/>
      <charset val="128"/>
    </font>
    <font>
      <b/>
      <sz val="12"/>
      <color theme="0"/>
      <name val="Calibri"/>
      <charset val="134"/>
    </font>
    <font>
      <b/>
      <sz val="11"/>
      <color theme="1"/>
      <name val="Calibri"/>
      <charset val="134"/>
    </font>
    <font>
      <sz val="9"/>
      <color rgb="FFC00000"/>
      <name val="Calibri"/>
      <charset val="134"/>
    </font>
    <font>
      <b/>
      <sz val="11"/>
      <name val="Calibri"/>
      <charset val="134"/>
    </font>
    <font>
      <sz val="11"/>
      <color theme="0"/>
      <name val="Calibri"/>
      <charset val="134"/>
    </font>
    <font>
      <b/>
      <sz val="11"/>
      <color theme="8"/>
      <name val="Calibri"/>
      <charset val="134"/>
    </font>
    <font>
      <b/>
      <sz val="11"/>
      <color rgb="FFFF0000"/>
      <name val="Calibri"/>
      <charset val="134"/>
    </font>
    <font>
      <sz val="11"/>
      <name val="Calibri"/>
      <charset val="134"/>
    </font>
    <font>
      <b/>
      <sz val="14"/>
      <color theme="0"/>
      <name val="Calibri"/>
      <charset val="134"/>
    </font>
    <font>
      <sz val="9"/>
      <name val="Calibri"/>
      <charset val="134"/>
    </font>
    <font>
      <sz val="10"/>
      <color theme="1"/>
      <name val="Calibri"/>
      <charset val="134"/>
    </font>
    <font>
      <sz val="11"/>
      <color theme="0" tint="-0.05"/>
      <name val="Calibri"/>
      <charset val="134"/>
    </font>
    <font>
      <b/>
      <sz val="12"/>
      <color rgb="FFFF0000"/>
      <name val="Calibri"/>
      <charset val="134"/>
    </font>
    <font>
      <sz val="11"/>
      <color rgb="FFFF0000"/>
      <name val="Calibri"/>
      <charset val="134"/>
    </font>
    <font>
      <b/>
      <sz val="10"/>
      <color theme="1"/>
      <name val="Calibri"/>
      <charset val="134"/>
    </font>
    <font>
      <sz val="11"/>
      <color rgb="FFC00000"/>
      <name val="Calibri"/>
      <charset val="134"/>
    </font>
    <font>
      <sz val="9"/>
      <color theme="1"/>
      <name val="Calibri"/>
      <charset val="134"/>
    </font>
    <font>
      <sz val="11"/>
      <color theme="4" tint="-0.25"/>
      <name val="Calibri"/>
      <charset val="134"/>
    </font>
    <font>
      <sz val="11"/>
      <color theme="0" tint="-0.35"/>
      <name val="Calibri"/>
      <charset val="134"/>
    </font>
    <font>
      <b/>
      <sz val="20"/>
      <color theme="0"/>
      <name val="黑体"/>
      <charset val="134"/>
    </font>
    <font>
      <b/>
      <sz val="11"/>
      <color theme="1"/>
      <name val="等线"/>
      <charset val="134"/>
      <scheme val="minor"/>
    </font>
    <font>
      <sz val="11"/>
      <color theme="0"/>
      <name val="黑体"/>
      <charset val="134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theme="1"/>
      <name val="等线"/>
      <charset val="134"/>
    </font>
    <font>
      <b/>
      <sz val="14"/>
      <color theme="0"/>
      <name val="思源黑体 CN Medium"/>
      <charset val="134"/>
    </font>
    <font>
      <sz val="11"/>
      <name val="等线"/>
      <charset val="134"/>
    </font>
    <font>
      <b/>
      <sz val="12"/>
      <color theme="1"/>
      <name val="等线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25" fillId="15" borderId="4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4" borderId="46" applyNumberFormat="0" applyFont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1" fillId="0" borderId="48" applyNumberFormat="0" applyFill="0" applyAlignment="0" applyProtection="0">
      <alignment vertical="center"/>
    </xf>
    <xf numFmtId="0" fontId="33" fillId="0" borderId="48" applyNumberFormat="0" applyFill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8" fillId="0" borderId="53" applyNumberFormat="0" applyFill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8" fillId="16" borderId="51" applyNumberFormat="0" applyAlignment="0" applyProtection="0">
      <alignment vertical="center"/>
    </xf>
    <xf numFmtId="0" fontId="26" fillId="16" borderId="47" applyNumberFormat="0" applyAlignment="0" applyProtection="0">
      <alignment vertical="center"/>
    </xf>
    <xf numFmtId="0" fontId="35" fillId="25" borderId="49" applyNumberFormat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40" fillId="0" borderId="52" applyNumberFormat="0" applyFill="0" applyAlignment="0" applyProtection="0">
      <alignment vertical="center"/>
    </xf>
    <xf numFmtId="0" fontId="37" fillId="0" borderId="50" applyNumberFormat="0" applyFill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</cellStyleXfs>
  <cellXfs count="28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1" fillId="0" borderId="0" xfId="0" applyFont="1" applyFill="1" applyBorder="1" applyAlignment="1"/>
    <xf numFmtId="0" fontId="5" fillId="0" borderId="0" xfId="0" applyFont="1"/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4" borderId="0" xfId="0" applyFont="1" applyFill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/>
    <xf numFmtId="0" fontId="1" fillId="0" borderId="4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7" fillId="4" borderId="4" xfId="0" applyNumberFormat="1" applyFont="1" applyFill="1" applyBorder="1"/>
    <xf numFmtId="0" fontId="7" fillId="4" borderId="4" xfId="0" applyFont="1" applyFill="1" applyBorder="1"/>
    <xf numFmtId="0" fontId="1" fillId="0" borderId="6" xfId="0" applyFont="1" applyBorder="1" applyAlignment="1">
      <alignment horizontal="center" vertical="center"/>
    </xf>
    <xf numFmtId="0" fontId="7" fillId="4" borderId="7" xfId="0" applyNumberFormat="1" applyFont="1" applyFill="1" applyBorder="1"/>
    <xf numFmtId="0" fontId="7" fillId="4" borderId="7" xfId="0" applyFont="1" applyFill="1" applyBorder="1"/>
    <xf numFmtId="0" fontId="4" fillId="5" borderId="0" xfId="0" applyFont="1" applyFill="1" applyAlignment="1">
      <alignment horizontal="center" vertical="center"/>
    </xf>
    <xf numFmtId="0" fontId="1" fillId="0" borderId="0" xfId="0" applyFont="1" applyBorder="1"/>
    <xf numFmtId="0" fontId="6" fillId="0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1" fillId="0" borderId="4" xfId="0" applyFont="1" applyFill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left"/>
    </xf>
    <xf numFmtId="0" fontId="4" fillId="6" borderId="6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" xfId="0" applyFont="1" applyBorder="1"/>
    <xf numFmtId="0" fontId="1" fillId="0" borderId="8" xfId="0" applyFont="1" applyBorder="1"/>
    <xf numFmtId="0" fontId="1" fillId="7" borderId="4" xfId="0" applyFont="1" applyFill="1" applyBorder="1" applyAlignment="1">
      <alignment horizontal="center"/>
    </xf>
    <xf numFmtId="0" fontId="8" fillId="0" borderId="4" xfId="0" applyFont="1" applyBorder="1"/>
    <xf numFmtId="0" fontId="1" fillId="0" borderId="12" xfId="0" applyFont="1" applyBorder="1" applyAlignment="1">
      <alignment horizontal="right" vertical="center"/>
    </xf>
    <xf numFmtId="179" fontId="1" fillId="0" borderId="20" xfId="0" applyNumberFormat="1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179" fontId="1" fillId="0" borderId="21" xfId="0" applyNumberFormat="1" applyFont="1" applyBorder="1" applyAlignment="1">
      <alignment horizontal="right" vertical="center"/>
    </xf>
    <xf numFmtId="0" fontId="1" fillId="7" borderId="4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right" vertical="center"/>
    </xf>
    <xf numFmtId="179" fontId="1" fillId="0" borderId="22" xfId="0" applyNumberFormat="1" applyFont="1" applyBorder="1" applyAlignment="1">
      <alignment horizontal="right" vertical="center"/>
    </xf>
    <xf numFmtId="0" fontId="9" fillId="8" borderId="4" xfId="0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23" xfId="0" applyFont="1" applyBorder="1" applyAlignment="1">
      <alignment horizontal="left"/>
    </xf>
    <xf numFmtId="0" fontId="8" fillId="0" borderId="4" xfId="0" applyFont="1" applyBorder="1" applyAlignment="1"/>
    <xf numFmtId="179" fontId="1" fillId="0" borderId="9" xfId="0" applyNumberFormat="1" applyFont="1" applyBorder="1"/>
    <xf numFmtId="0" fontId="1" fillId="0" borderId="24" xfId="0" applyFont="1" applyBorder="1" applyAlignment="1">
      <alignment horizontal="left"/>
    </xf>
    <xf numFmtId="0" fontId="9" fillId="8" borderId="4" xfId="0" applyFont="1" applyFill="1" applyBorder="1" applyAlignment="1">
      <alignment horizontal="right"/>
    </xf>
    <xf numFmtId="0" fontId="9" fillId="8" borderId="1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right"/>
    </xf>
    <xf numFmtId="179" fontId="1" fillId="0" borderId="20" xfId="0" applyNumberFormat="1" applyFont="1" applyBorder="1" applyAlignment="1">
      <alignment horizontal="right"/>
    </xf>
    <xf numFmtId="0" fontId="9" fillId="8" borderId="4" xfId="0" applyFont="1" applyFill="1" applyBorder="1" applyAlignment="1"/>
    <xf numFmtId="0" fontId="9" fillId="8" borderId="15" xfId="0" applyFont="1" applyFill="1" applyBorder="1" applyAlignment="1">
      <alignment horizontal="center" vertical="center"/>
    </xf>
    <xf numFmtId="179" fontId="1" fillId="0" borderId="21" xfId="0" applyNumberFormat="1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1" fillId="0" borderId="25" xfId="0" applyFont="1" applyBorder="1" applyAlignment="1">
      <alignment horizontal="left"/>
    </xf>
    <xf numFmtId="0" fontId="9" fillId="8" borderId="17" xfId="0" applyFont="1" applyFill="1" applyBorder="1" applyAlignment="1"/>
    <xf numFmtId="0" fontId="9" fillId="8" borderId="17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right"/>
    </xf>
    <xf numFmtId="179" fontId="1" fillId="0" borderId="26" xfId="0" applyNumberFormat="1" applyFont="1" applyBorder="1" applyAlignment="1">
      <alignment horizontal="right"/>
    </xf>
    <xf numFmtId="179" fontId="4" fillId="9" borderId="17" xfId="0" applyNumberFormat="1" applyFont="1" applyFill="1" applyBorder="1"/>
    <xf numFmtId="179" fontId="4" fillId="9" borderId="26" xfId="0" applyNumberFormat="1" applyFont="1" applyFill="1" applyBorder="1"/>
    <xf numFmtId="0" fontId="1" fillId="0" borderId="13" xfId="0" applyFont="1" applyBorder="1"/>
    <xf numFmtId="0" fontId="1" fillId="0" borderId="21" xfId="0" applyFont="1" applyBorder="1"/>
    <xf numFmtId="0" fontId="1" fillId="0" borderId="27" xfId="0" applyFont="1" applyBorder="1" applyAlignment="1">
      <alignment horizontal="left"/>
    </xf>
    <xf numFmtId="0" fontId="9" fillId="8" borderId="13" xfId="0" applyFont="1" applyFill="1" applyBorder="1" applyAlignment="1">
      <alignment horizontal="right"/>
    </xf>
    <xf numFmtId="0" fontId="1" fillId="0" borderId="28" xfId="0" applyFont="1" applyBorder="1" applyAlignment="1">
      <alignment horizontal="left"/>
    </xf>
    <xf numFmtId="0" fontId="10" fillId="7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/>
    <xf numFmtId="0" fontId="10" fillId="7" borderId="4" xfId="0" applyFont="1" applyFill="1" applyBorder="1"/>
    <xf numFmtId="0" fontId="1" fillId="7" borderId="4" xfId="0" applyFont="1" applyFill="1" applyBorder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4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7" fillId="10" borderId="2" xfId="0" applyFont="1" applyFill="1" applyBorder="1"/>
    <xf numFmtId="0" fontId="7" fillId="10" borderId="0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7" fillId="10" borderId="4" xfId="0" applyFont="1" applyFill="1" applyBorder="1"/>
    <xf numFmtId="0" fontId="10" fillId="9" borderId="0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right" vertical="center"/>
    </xf>
    <xf numFmtId="0" fontId="7" fillId="10" borderId="4" xfId="0" applyFont="1" applyFill="1" applyBorder="1" applyAlignment="1">
      <alignment horizontal="right"/>
    </xf>
    <xf numFmtId="0" fontId="4" fillId="0" borderId="6" xfId="0" applyFont="1" applyBorder="1" applyAlignment="1">
      <alignment horizontal="center" vertical="center"/>
    </xf>
    <xf numFmtId="0" fontId="7" fillId="10" borderId="7" xfId="0" applyFont="1" applyFill="1" applyBorder="1" applyAlignment="1">
      <alignment horizontal="right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0" xfId="0" applyFont="1" applyFill="1" applyBorder="1"/>
    <xf numFmtId="0" fontId="1" fillId="0" borderId="2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7" fillId="10" borderId="7" xfId="0" applyFont="1" applyFill="1" applyBorder="1"/>
    <xf numFmtId="0" fontId="12" fillId="0" borderId="0" xfId="0" applyFont="1"/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1" fillId="0" borderId="37" xfId="0" applyFont="1" applyBorder="1" applyAlignment="1">
      <alignment horizontal="left"/>
    </xf>
    <xf numFmtId="178" fontId="10" fillId="9" borderId="37" xfId="0" applyNumberFormat="1" applyFont="1" applyFill="1" applyBorder="1" applyAlignment="1">
      <alignment horizontal="center"/>
    </xf>
    <xf numFmtId="0" fontId="10" fillId="9" borderId="13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178" fontId="10" fillId="9" borderId="3" xfId="0" applyNumberFormat="1" applyFont="1" applyFill="1" applyBorder="1" applyAlignment="1">
      <alignment horizontal="center"/>
    </xf>
    <xf numFmtId="0" fontId="10" fillId="9" borderId="4" xfId="0" applyFont="1" applyFill="1" applyBorder="1" applyAlignment="1">
      <alignment horizontal="center"/>
    </xf>
    <xf numFmtId="0" fontId="1" fillId="0" borderId="36" xfId="0" applyFont="1" applyBorder="1" applyAlignment="1">
      <alignment horizontal="left"/>
    </xf>
    <xf numFmtId="176" fontId="10" fillId="9" borderId="36" xfId="0" applyNumberFormat="1" applyFont="1" applyFill="1" applyBorder="1" applyAlignment="1">
      <alignment horizontal="center"/>
    </xf>
    <xf numFmtId="176" fontId="10" fillId="9" borderId="7" xfId="0" applyNumberFormat="1" applyFont="1" applyFill="1" applyBorder="1" applyAlignment="1">
      <alignment horizontal="center"/>
    </xf>
    <xf numFmtId="0" fontId="11" fillId="11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1" fillId="0" borderId="10" xfId="0" applyFont="1" applyBorder="1"/>
    <xf numFmtId="0" fontId="13" fillId="0" borderId="0" xfId="0" applyFont="1" applyFill="1" applyBorder="1" applyAlignment="1">
      <alignment horizontal="left" vertical="center"/>
    </xf>
    <xf numFmtId="0" fontId="7" fillId="0" borderId="0" xfId="0" applyFont="1" applyFill="1" applyBorder="1"/>
    <xf numFmtId="0" fontId="1" fillId="0" borderId="2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9" fillId="0" borderId="0" xfId="0" applyFont="1" applyFill="1" applyBorder="1"/>
    <xf numFmtId="0" fontId="14" fillId="0" borderId="0" xfId="0" applyFont="1" applyFill="1" applyBorder="1" applyAlignment="1">
      <alignment horizontal="left" vertical="center"/>
    </xf>
    <xf numFmtId="180" fontId="9" fillId="0" borderId="0" xfId="0" applyNumberFormat="1" applyFont="1" applyFill="1" applyBorder="1"/>
    <xf numFmtId="0" fontId="15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16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1" fillId="0" borderId="41" xfId="0" applyFont="1" applyBorder="1" applyAlignment="1">
      <alignment horizontal="center" wrapText="1"/>
    </xf>
    <xf numFmtId="0" fontId="1" fillId="0" borderId="42" xfId="0" applyFont="1" applyBorder="1" applyAlignment="1">
      <alignment horizontal="center" wrapText="1"/>
    </xf>
    <xf numFmtId="0" fontId="1" fillId="0" borderId="0" xfId="0" applyFont="1" applyFill="1" applyBorder="1" applyAlignment="1">
      <alignment wrapText="1"/>
    </xf>
    <xf numFmtId="0" fontId="4" fillId="0" borderId="10" xfId="0" applyFont="1" applyBorder="1" applyAlignment="1">
      <alignment horizontal="center" wrapText="1"/>
    </xf>
    <xf numFmtId="0" fontId="17" fillId="0" borderId="36" xfId="0" applyFont="1" applyBorder="1" applyAlignment="1">
      <alignment horizontal="center" wrapText="1"/>
    </xf>
    <xf numFmtId="0" fontId="17" fillId="0" borderId="7" xfId="0" applyFont="1" applyBorder="1" applyAlignment="1">
      <alignment horizontal="center" wrapText="1"/>
    </xf>
    <xf numFmtId="178" fontId="10" fillId="9" borderId="13" xfId="0" applyNumberFormat="1" applyFont="1" applyFill="1" applyBorder="1" applyAlignment="1">
      <alignment horizontal="center"/>
    </xf>
    <xf numFmtId="0" fontId="10" fillId="9" borderId="22" xfId="0" applyFont="1" applyFill="1" applyBorder="1" applyAlignment="1">
      <alignment horizontal="center"/>
    </xf>
    <xf numFmtId="0" fontId="10" fillId="9" borderId="37" xfId="0" applyFont="1" applyFill="1" applyBorder="1" applyAlignment="1">
      <alignment horizontal="center"/>
    </xf>
    <xf numFmtId="181" fontId="10" fillId="0" borderId="0" xfId="0" applyNumberFormat="1" applyFont="1" applyFill="1" applyBorder="1" applyAlignment="1"/>
    <xf numFmtId="177" fontId="10" fillId="0" borderId="0" xfId="0" applyNumberFormat="1" applyFont="1" applyFill="1" applyBorder="1" applyAlignment="1"/>
    <xf numFmtId="178" fontId="10" fillId="9" borderId="4" xfId="0" applyNumberFormat="1" applyFont="1" applyFill="1" applyBorder="1" applyAlignment="1">
      <alignment horizontal="center"/>
    </xf>
    <xf numFmtId="0" fontId="10" fillId="9" borderId="9" xfId="0" applyFont="1" applyFill="1" applyBorder="1" applyAlignment="1">
      <alignment horizontal="center"/>
    </xf>
    <xf numFmtId="182" fontId="10" fillId="9" borderId="3" xfId="0" applyNumberFormat="1" applyFont="1" applyFill="1" applyBorder="1" applyAlignment="1">
      <alignment horizontal="center"/>
    </xf>
    <xf numFmtId="182" fontId="10" fillId="0" borderId="0" xfId="0" applyNumberFormat="1" applyFont="1" applyFill="1" applyBorder="1" applyAlignment="1"/>
    <xf numFmtId="183" fontId="10" fillId="9" borderId="7" xfId="0" applyNumberFormat="1" applyFont="1" applyFill="1" applyBorder="1" applyAlignment="1">
      <alignment horizontal="center"/>
    </xf>
    <xf numFmtId="183" fontId="10" fillId="9" borderId="10" xfId="0" applyNumberFormat="1" applyFont="1" applyFill="1" applyBorder="1" applyAlignment="1">
      <alignment horizontal="center"/>
    </xf>
    <xf numFmtId="176" fontId="10" fillId="9" borderId="10" xfId="0" applyNumberFormat="1" applyFont="1" applyFill="1" applyBorder="1" applyAlignment="1">
      <alignment horizontal="center"/>
    </xf>
    <xf numFmtId="176" fontId="10" fillId="0" borderId="0" xfId="0" applyNumberFormat="1" applyFont="1" applyFill="1" applyBorder="1" applyAlignment="1"/>
    <xf numFmtId="0" fontId="10" fillId="7" borderId="0" xfId="0" applyFont="1" applyFill="1" applyBorder="1"/>
    <xf numFmtId="0" fontId="10" fillId="0" borderId="0" xfId="0" applyFont="1" applyFill="1" applyBorder="1"/>
    <xf numFmtId="179" fontId="10" fillId="7" borderId="0" xfId="0" applyNumberFormat="1" applyFont="1" applyFill="1" applyBorder="1"/>
    <xf numFmtId="0" fontId="1" fillId="7" borderId="0" xfId="0" applyFont="1" applyFill="1"/>
    <xf numFmtId="0" fontId="1" fillId="12" borderId="0" xfId="0" applyFont="1" applyFill="1"/>
    <xf numFmtId="0" fontId="18" fillId="12" borderId="0" xfId="0" applyFont="1" applyFill="1"/>
    <xf numFmtId="179" fontId="1" fillId="12" borderId="0" xfId="0" applyNumberFormat="1" applyFont="1" applyFill="1"/>
    <xf numFmtId="178" fontId="1" fillId="12" borderId="0" xfId="0" applyNumberFormat="1" applyFont="1" applyFill="1"/>
    <xf numFmtId="0" fontId="10" fillId="12" borderId="0" xfId="0" applyFont="1" applyFill="1"/>
    <xf numFmtId="0" fontId="4" fillId="0" borderId="0" xfId="0" applyFont="1" applyBorder="1" applyAlignment="1"/>
    <xf numFmtId="0" fontId="14" fillId="0" borderId="0" xfId="0" applyFont="1" applyFill="1" applyBorder="1"/>
    <xf numFmtId="0" fontId="4" fillId="0" borderId="0" xfId="0" applyFont="1" applyBorder="1" applyAlignment="1">
      <alignment vertical="center"/>
    </xf>
    <xf numFmtId="0" fontId="1" fillId="0" borderId="0" xfId="0" applyFont="1" applyBorder="1" applyAlignment="1"/>
    <xf numFmtId="0" fontId="1" fillId="0" borderId="0" xfId="0" applyFont="1" applyFill="1"/>
    <xf numFmtId="182" fontId="1" fillId="12" borderId="0" xfId="0" applyNumberFormat="1" applyFont="1" applyFill="1"/>
    <xf numFmtId="0" fontId="1" fillId="0" borderId="0" xfId="0" applyFont="1" applyAlignment="1">
      <alignment horizontal="left"/>
    </xf>
    <xf numFmtId="181" fontId="1" fillId="12" borderId="0" xfId="0" applyNumberFormat="1" applyFont="1" applyFill="1"/>
    <xf numFmtId="0" fontId="4" fillId="0" borderId="1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1" fillId="0" borderId="1" xfId="0" applyFont="1" applyBorder="1" applyAlignment="1">
      <alignment horizontal="left"/>
    </xf>
    <xf numFmtId="178" fontId="10" fillId="9" borderId="1" xfId="0" applyNumberFormat="1" applyFont="1" applyFill="1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7" fillId="10" borderId="12" xfId="0" applyFont="1" applyFill="1" applyBorder="1"/>
    <xf numFmtId="0" fontId="1" fillId="0" borderId="20" xfId="0" applyFont="1" applyBorder="1"/>
    <xf numFmtId="0" fontId="4" fillId="0" borderId="3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/>
    </xf>
    <xf numFmtId="0" fontId="20" fillId="0" borderId="0" xfId="0" applyFont="1" applyFill="1" applyBorder="1" applyAlignment="1">
      <alignment vertical="center"/>
    </xf>
    <xf numFmtId="0" fontId="4" fillId="7" borderId="29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left" vertical="center"/>
    </xf>
    <xf numFmtId="0" fontId="9" fillId="7" borderId="2" xfId="0" applyFont="1" applyFill="1" applyBorder="1"/>
    <xf numFmtId="0" fontId="1" fillId="7" borderId="8" xfId="0" applyFont="1" applyFill="1" applyBorder="1"/>
    <xf numFmtId="0" fontId="14" fillId="0" borderId="0" xfId="0" applyFont="1" applyFill="1" applyBorder="1" applyAlignment="1">
      <alignment vertical="center"/>
    </xf>
    <xf numFmtId="0" fontId="4" fillId="7" borderId="14" xfId="0" applyFont="1" applyFill="1" applyBorder="1" applyAlignment="1">
      <alignment horizontal="center" vertical="center" wrapText="1"/>
    </xf>
    <xf numFmtId="0" fontId="9" fillId="7" borderId="4" xfId="0" applyFont="1" applyFill="1" applyBorder="1"/>
    <xf numFmtId="0" fontId="1" fillId="7" borderId="9" xfId="0" applyFont="1" applyFill="1" applyBorder="1"/>
    <xf numFmtId="0" fontId="4" fillId="7" borderId="6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left" vertical="center"/>
    </xf>
    <xf numFmtId="0" fontId="9" fillId="7" borderId="7" xfId="0" applyFont="1" applyFill="1" applyBorder="1"/>
    <xf numFmtId="0" fontId="1" fillId="7" borderId="10" xfId="0" applyFont="1" applyFill="1" applyBorder="1"/>
    <xf numFmtId="0" fontId="4" fillId="0" borderId="31" xfId="0" applyFont="1" applyBorder="1" applyAlignment="1">
      <alignment horizontal="center" wrapText="1"/>
    </xf>
    <xf numFmtId="0" fontId="4" fillId="0" borderId="30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wrapText="1"/>
    </xf>
    <xf numFmtId="0" fontId="17" fillId="0" borderId="28" xfId="0" applyFont="1" applyBorder="1" applyAlignment="1">
      <alignment horizontal="center" wrapText="1"/>
    </xf>
    <xf numFmtId="0" fontId="17" fillId="0" borderId="12" xfId="0" applyFont="1" applyBorder="1" applyAlignment="1">
      <alignment horizontal="center" wrapText="1"/>
    </xf>
    <xf numFmtId="0" fontId="17" fillId="0" borderId="19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177" fontId="10" fillId="9" borderId="2" xfId="0" applyNumberFormat="1" applyFont="1" applyFill="1" applyBorder="1" applyAlignment="1">
      <alignment horizontal="center"/>
    </xf>
    <xf numFmtId="177" fontId="10" fillId="9" borderId="8" xfId="0" applyNumberFormat="1" applyFont="1" applyFill="1" applyBorder="1" applyAlignment="1">
      <alignment horizontal="center"/>
    </xf>
    <xf numFmtId="0" fontId="10" fillId="9" borderId="31" xfId="0" applyFont="1" applyFill="1" applyBorder="1" applyAlignment="1">
      <alignment horizontal="center"/>
    </xf>
    <xf numFmtId="181" fontId="10" fillId="9" borderId="2" xfId="0" applyNumberFormat="1" applyFont="1" applyFill="1" applyBorder="1" applyAlignment="1">
      <alignment horizontal="center"/>
    </xf>
    <xf numFmtId="0" fontId="10" fillId="9" borderId="30" xfId="0" applyFont="1" applyFill="1" applyBorder="1" applyAlignment="1">
      <alignment horizontal="center"/>
    </xf>
    <xf numFmtId="177" fontId="10" fillId="9" borderId="1" xfId="0" applyNumberFormat="1" applyFont="1" applyFill="1" applyBorder="1" applyAlignment="1">
      <alignment horizontal="center"/>
    </xf>
    <xf numFmtId="177" fontId="10" fillId="9" borderId="4" xfId="0" applyNumberFormat="1" applyFont="1" applyFill="1" applyBorder="1" applyAlignment="1">
      <alignment horizontal="center"/>
    </xf>
    <xf numFmtId="177" fontId="10" fillId="9" borderId="9" xfId="0" applyNumberFormat="1" applyFont="1" applyFill="1" applyBorder="1" applyAlignment="1">
      <alignment horizontal="center"/>
    </xf>
    <xf numFmtId="182" fontId="10" fillId="9" borderId="23" xfId="0" applyNumberFormat="1" applyFont="1" applyFill="1" applyBorder="1" applyAlignment="1">
      <alignment horizontal="center"/>
    </xf>
    <xf numFmtId="182" fontId="10" fillId="9" borderId="4" xfId="0" applyNumberFormat="1" applyFont="1" applyFill="1" applyBorder="1" applyAlignment="1">
      <alignment horizontal="center"/>
    </xf>
    <xf numFmtId="0" fontId="10" fillId="9" borderId="11" xfId="0" applyFont="1" applyFill="1" applyBorder="1" applyAlignment="1">
      <alignment horizontal="center"/>
    </xf>
    <xf numFmtId="177" fontId="10" fillId="9" borderId="3" xfId="0" applyNumberFormat="1" applyFont="1" applyFill="1" applyBorder="1" applyAlignment="1">
      <alignment horizontal="center"/>
    </xf>
    <xf numFmtId="177" fontId="10" fillId="9" borderId="7" xfId="0" applyNumberFormat="1" applyFont="1" applyFill="1" applyBorder="1" applyAlignment="1">
      <alignment horizontal="center"/>
    </xf>
    <xf numFmtId="177" fontId="10" fillId="9" borderId="10" xfId="0" applyNumberFormat="1" applyFont="1" applyFill="1" applyBorder="1" applyAlignment="1">
      <alignment horizontal="center"/>
    </xf>
    <xf numFmtId="176" fontId="10" fillId="9" borderId="25" xfId="0" applyNumberFormat="1" applyFont="1" applyFill="1" applyBorder="1" applyAlignment="1">
      <alignment horizontal="center"/>
    </xf>
    <xf numFmtId="176" fontId="10" fillId="9" borderId="16" xfId="0" applyNumberFormat="1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1" fillId="0" borderId="0" xfId="0" applyFont="1"/>
    <xf numFmtId="0" fontId="1" fillId="12" borderId="0" xfId="0" applyFont="1" applyFill="1" applyAlignment="1">
      <alignment wrapText="1"/>
    </xf>
    <xf numFmtId="0" fontId="13" fillId="0" borderId="31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4" fillId="0" borderId="39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4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left" vertical="center"/>
    </xf>
    <xf numFmtId="0" fontId="4" fillId="7" borderId="32" xfId="0" applyFont="1" applyFill="1" applyBorder="1" applyAlignment="1">
      <alignment horizontal="center" vertical="center" wrapText="1"/>
    </xf>
    <xf numFmtId="0" fontId="1" fillId="7" borderId="31" xfId="0" applyFont="1" applyFill="1" applyBorder="1" applyAlignment="1">
      <alignment horizontal="left" vertical="center"/>
    </xf>
    <xf numFmtId="0" fontId="4" fillId="7" borderId="34" xfId="0" applyFont="1" applyFill="1" applyBorder="1" applyAlignment="1">
      <alignment horizontal="center" vertical="center" wrapText="1"/>
    </xf>
    <xf numFmtId="0" fontId="1" fillId="7" borderId="25" xfId="0" applyFont="1" applyFill="1" applyBorder="1" applyAlignment="1">
      <alignment horizontal="left" vertical="center"/>
    </xf>
    <xf numFmtId="180" fontId="9" fillId="7" borderId="7" xfId="0" applyNumberFormat="1" applyFont="1" applyFill="1" applyBorder="1"/>
    <xf numFmtId="0" fontId="17" fillId="0" borderId="10" xfId="0" applyFont="1" applyBorder="1" applyAlignment="1">
      <alignment horizontal="center" wrapText="1"/>
    </xf>
    <xf numFmtId="0" fontId="4" fillId="0" borderId="7" xfId="0" applyFont="1" applyBorder="1" applyAlignment="1">
      <alignment horizontal="center" vertical="center" wrapText="1"/>
    </xf>
    <xf numFmtId="177" fontId="10" fillId="9" borderId="13" xfId="0" applyNumberFormat="1" applyFont="1" applyFill="1" applyBorder="1" applyAlignment="1">
      <alignment horizontal="center"/>
    </xf>
    <xf numFmtId="177" fontId="10" fillId="9" borderId="22" xfId="0" applyNumberFormat="1" applyFont="1" applyFill="1" applyBorder="1" applyAlignment="1">
      <alignment horizontal="center"/>
    </xf>
    <xf numFmtId="181" fontId="10" fillId="9" borderId="13" xfId="0" applyNumberFormat="1" applyFont="1" applyFill="1" applyBorder="1" applyAlignment="1">
      <alignment horizontal="center"/>
    </xf>
    <xf numFmtId="177" fontId="10" fillId="9" borderId="37" xfId="0" applyNumberFormat="1" applyFont="1" applyFill="1" applyBorder="1" applyAlignment="1">
      <alignment horizontal="center"/>
    </xf>
    <xf numFmtId="177" fontId="10" fillId="9" borderId="36" xfId="0" applyNumberFormat="1" applyFont="1" applyFill="1" applyBorder="1" applyAlignment="1">
      <alignment horizontal="center"/>
    </xf>
    <xf numFmtId="0" fontId="10" fillId="0" borderId="0" xfId="0" applyFont="1" applyFill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77" fontId="10" fillId="9" borderId="17" xfId="0" applyNumberFormat="1" applyFont="1" applyFill="1" applyBorder="1" applyAlignment="1">
      <alignment horizontal="center"/>
    </xf>
    <xf numFmtId="177" fontId="10" fillId="9" borderId="26" xfId="0" applyNumberFormat="1" applyFont="1" applyFill="1" applyBorder="1" applyAlignment="1">
      <alignment horizontal="center"/>
    </xf>
    <xf numFmtId="0" fontId="22" fillId="2" borderId="0" xfId="0" applyFont="1" applyFill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49" fontId="0" fillId="0" borderId="37" xfId="0" applyNumberFormat="1" applyBorder="1" applyAlignment="1"/>
    <xf numFmtId="0" fontId="0" fillId="0" borderId="13" xfId="0" applyBorder="1" applyAlignment="1">
      <alignment horizontal="left"/>
    </xf>
    <xf numFmtId="49" fontId="0" fillId="0" borderId="3" xfId="0" applyNumberFormat="1" applyBorder="1" applyAlignment="1"/>
    <xf numFmtId="0" fontId="0" fillId="0" borderId="4" xfId="0" applyBorder="1" applyAlignment="1">
      <alignment horizontal="left"/>
    </xf>
    <xf numFmtId="49" fontId="0" fillId="0" borderId="5" xfId="0" applyNumberFormat="1" applyBorder="1" applyAlignment="1"/>
    <xf numFmtId="49" fontId="0" fillId="0" borderId="36" xfId="0" applyNumberFormat="1" applyBorder="1" applyAlignment="1"/>
    <xf numFmtId="0" fontId="0" fillId="0" borderId="7" xfId="0" applyBorder="1" applyAlignment="1">
      <alignment horizontal="left"/>
    </xf>
    <xf numFmtId="0" fontId="24" fillId="13" borderId="0" xfId="0" applyFont="1" applyFill="1" applyAlignment="1">
      <alignment horizontal="left" vertical="center"/>
    </xf>
    <xf numFmtId="0" fontId="23" fillId="0" borderId="45" xfId="0" applyFont="1" applyBorder="1" applyAlignment="1">
      <alignment horizontal="center" vertical="center"/>
    </xf>
    <xf numFmtId="14" fontId="0" fillId="0" borderId="22" xfId="0" applyNumberFormat="1" applyBorder="1"/>
    <xf numFmtId="14" fontId="0" fillId="0" borderId="9" xfId="0" applyNumberFormat="1" applyBorder="1"/>
    <xf numFmtId="14" fontId="0" fillId="0" borderId="20" xfId="0" applyNumberFormat="1" applyBorder="1"/>
    <xf numFmtId="14" fontId="0" fillId="0" borderId="10" xfId="0" applyNumberForma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theme="0"/>
      </font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414655</xdr:colOff>
      <xdr:row>4</xdr:row>
      <xdr:rowOff>175895</xdr:rowOff>
    </xdr:from>
    <xdr:to>
      <xdr:col>26</xdr:col>
      <xdr:colOff>111760</xdr:colOff>
      <xdr:row>10</xdr:row>
      <xdr:rowOff>41910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359265" y="975995"/>
          <a:ext cx="5783580" cy="10280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666750</xdr:colOff>
      <xdr:row>27</xdr:row>
      <xdr:rowOff>134620</xdr:rowOff>
    </xdr:from>
    <xdr:to>
      <xdr:col>13</xdr:col>
      <xdr:colOff>340995</xdr:colOff>
      <xdr:row>28</xdr:row>
      <xdr:rowOff>17780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52625" y="5440045"/>
          <a:ext cx="5884545" cy="26136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319405</xdr:colOff>
      <xdr:row>4</xdr:row>
      <xdr:rowOff>171450</xdr:rowOff>
    </xdr:from>
    <xdr:to>
      <xdr:col>25</xdr:col>
      <xdr:colOff>45085</xdr:colOff>
      <xdr:row>10</xdr:row>
      <xdr:rowOff>56515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5830" y="971550"/>
          <a:ext cx="5783580" cy="1037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22225</xdr:colOff>
      <xdr:row>27</xdr:row>
      <xdr:rowOff>126365</xdr:rowOff>
    </xdr:from>
    <xdr:to>
      <xdr:col>16</xdr:col>
      <xdr:colOff>710565</xdr:colOff>
      <xdr:row>27</xdr:row>
      <xdr:rowOff>3335655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93900" y="5412740"/>
          <a:ext cx="8898890" cy="32092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524510</xdr:colOff>
      <xdr:row>5</xdr:row>
      <xdr:rowOff>107315</xdr:rowOff>
    </xdr:from>
    <xdr:to>
      <xdr:col>26</xdr:col>
      <xdr:colOff>221615</xdr:colOff>
      <xdr:row>10</xdr:row>
      <xdr:rowOff>173355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6135" y="1097915"/>
          <a:ext cx="5783580" cy="10280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4:S19"/>
  <sheetViews>
    <sheetView zoomScale="130" zoomScaleNormal="130" workbookViewId="0">
      <selection activeCell="O15" sqref="O15"/>
    </sheetView>
  </sheetViews>
  <sheetFormatPr defaultColWidth="9" defaultRowHeight="14.25"/>
  <cols>
    <col min="1" max="3" width="2.625" customWidth="1"/>
    <col min="18" max="18" width="9.875"/>
  </cols>
  <sheetData>
    <row r="4" spans="6:19">
      <c r="F4" s="271" t="s">
        <v>0</v>
      </c>
      <c r="G4" s="271"/>
      <c r="H4" s="271"/>
      <c r="I4" s="271"/>
      <c r="J4" s="271"/>
      <c r="K4" s="271"/>
      <c r="L4" s="271"/>
      <c r="M4" s="271"/>
      <c r="N4" s="271"/>
      <c r="O4" s="271"/>
      <c r="P4" s="271"/>
      <c r="Q4" s="271"/>
      <c r="R4" s="271"/>
      <c r="S4" s="271"/>
    </row>
    <row r="5" spans="6:19">
      <c r="F5" s="271"/>
      <c r="G5" s="271"/>
      <c r="H5" s="271"/>
      <c r="I5" s="271"/>
      <c r="J5" s="271"/>
      <c r="K5" s="271"/>
      <c r="L5" s="271"/>
      <c r="M5" s="271"/>
      <c r="N5" s="271"/>
      <c r="O5" s="271"/>
      <c r="P5" s="271"/>
      <c r="Q5" s="271"/>
      <c r="R5" s="271"/>
      <c r="S5" s="271"/>
    </row>
    <row r="7" ht="15"/>
    <row r="8" ht="15" spans="7:18">
      <c r="G8" s="272" t="s">
        <v>1</v>
      </c>
      <c r="H8" s="273" t="s">
        <v>2</v>
      </c>
      <c r="I8" s="273"/>
      <c r="J8" s="273"/>
      <c r="K8" s="273"/>
      <c r="L8" s="273"/>
      <c r="M8" s="273"/>
      <c r="N8" s="273"/>
      <c r="O8" s="273"/>
      <c r="P8" s="273"/>
      <c r="Q8" s="273"/>
      <c r="R8" s="282" t="s">
        <v>3</v>
      </c>
    </row>
    <row r="9" spans="7:18">
      <c r="G9" s="274" t="s">
        <v>4</v>
      </c>
      <c r="H9" s="275" t="s">
        <v>5</v>
      </c>
      <c r="I9" s="275"/>
      <c r="J9" s="275"/>
      <c r="K9" s="275"/>
      <c r="L9" s="275"/>
      <c r="M9" s="275"/>
      <c r="N9" s="275"/>
      <c r="O9" s="275"/>
      <c r="P9" s="275"/>
      <c r="Q9" s="275"/>
      <c r="R9" s="283">
        <v>46179</v>
      </c>
    </row>
    <row r="10" spans="7:18">
      <c r="G10" s="276" t="s">
        <v>6</v>
      </c>
      <c r="H10" s="277" t="s">
        <v>7</v>
      </c>
      <c r="I10" s="277"/>
      <c r="J10" s="277"/>
      <c r="K10" s="277"/>
      <c r="L10" s="277"/>
      <c r="M10" s="277"/>
      <c r="N10" s="277"/>
      <c r="O10" s="277"/>
      <c r="P10" s="277"/>
      <c r="Q10" s="277"/>
      <c r="R10" s="284">
        <v>46181</v>
      </c>
    </row>
    <row r="11" spans="7:18">
      <c r="G11" s="278" t="s">
        <v>8</v>
      </c>
      <c r="H11" s="277" t="s">
        <v>9</v>
      </c>
      <c r="I11" s="277"/>
      <c r="J11" s="277"/>
      <c r="K11" s="277"/>
      <c r="L11" s="277"/>
      <c r="M11" s="277"/>
      <c r="N11" s="277"/>
      <c r="O11" s="277"/>
      <c r="P11" s="277"/>
      <c r="Q11" s="277"/>
      <c r="R11" s="285">
        <v>46182</v>
      </c>
    </row>
    <row r="12" ht="15" spans="7:18">
      <c r="G12" s="279" t="s">
        <v>10</v>
      </c>
      <c r="H12" s="280" t="s">
        <v>11</v>
      </c>
      <c r="I12" s="280"/>
      <c r="J12" s="280"/>
      <c r="K12" s="280"/>
      <c r="L12" s="280"/>
      <c r="M12" s="280"/>
      <c r="N12" s="280"/>
      <c r="O12" s="280"/>
      <c r="P12" s="280"/>
      <c r="Q12" s="280"/>
      <c r="R12" s="286">
        <v>46201</v>
      </c>
    </row>
    <row r="17" spans="6:11">
      <c r="F17" s="281" t="s">
        <v>12</v>
      </c>
      <c r="G17" s="281"/>
      <c r="H17" s="281"/>
      <c r="I17" s="281"/>
      <c r="J17" s="281"/>
      <c r="K17" s="281"/>
    </row>
    <row r="19" ht="15.75" spans="7:7">
      <c r="G19" t="s">
        <v>13</v>
      </c>
    </row>
  </sheetData>
  <mergeCells count="7">
    <mergeCell ref="H8:Q8"/>
    <mergeCell ref="H9:Q9"/>
    <mergeCell ref="H10:Q10"/>
    <mergeCell ref="H11:Q11"/>
    <mergeCell ref="H12:Q12"/>
    <mergeCell ref="F17:K17"/>
    <mergeCell ref="F4:S5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V128"/>
  <sheetViews>
    <sheetView showGridLines="0" zoomScale="115" zoomScaleNormal="115" workbookViewId="0">
      <selection activeCell="Z27" sqref="Z27"/>
    </sheetView>
  </sheetViews>
  <sheetFormatPr defaultColWidth="9" defaultRowHeight="15"/>
  <cols>
    <col min="1" max="3" width="2.625" style="1" customWidth="1"/>
    <col min="4" max="7" width="9" style="1"/>
    <col min="8" max="8" width="9.5" style="1" customWidth="1"/>
    <col min="9" max="10" width="9" style="1"/>
    <col min="11" max="11" width="9" style="1" customWidth="1"/>
    <col min="12" max="13" width="9" style="1"/>
    <col min="14" max="14" width="9.5" style="1" customWidth="1"/>
    <col min="15" max="15" width="9.50833333333333" style="1" customWidth="1"/>
    <col min="16" max="22" width="9" style="1"/>
    <col min="23" max="25" width="2.625" style="1" customWidth="1"/>
    <col min="26" max="16384" width="9" style="1"/>
  </cols>
  <sheetData>
    <row r="2" ht="14.25" customHeight="1" spans="4:22">
      <c r="D2" s="2" t="s">
        <v>14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4.25" customHeight="1" spans="4:22"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9.5" spans="5:17">
      <c r="E4" s="96" t="s">
        <v>15</v>
      </c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</row>
    <row r="5" spans="5:19">
      <c r="E5" s="97" t="s">
        <v>16</v>
      </c>
      <c r="F5" s="98" t="s">
        <v>17</v>
      </c>
      <c r="G5" s="99"/>
      <c r="H5" s="100">
        <v>50</v>
      </c>
      <c r="I5" s="54" t="s">
        <v>18</v>
      </c>
      <c r="K5" s="97" t="s">
        <v>19</v>
      </c>
      <c r="L5" s="112" t="s">
        <v>20</v>
      </c>
      <c r="M5" s="112"/>
      <c r="N5" s="100">
        <v>70</v>
      </c>
      <c r="O5" s="54" t="s">
        <v>21</v>
      </c>
      <c r="Q5" s="182"/>
      <c r="R5" s="182"/>
      <c r="S5" s="182"/>
    </row>
    <row r="6" spans="4:15">
      <c r="D6" s="101" t="s">
        <v>22</v>
      </c>
      <c r="E6" s="102"/>
      <c r="F6" s="38" t="s">
        <v>23</v>
      </c>
      <c r="G6" s="66"/>
      <c r="H6" s="103">
        <v>58</v>
      </c>
      <c r="I6" s="65" t="s">
        <v>24</v>
      </c>
      <c r="K6" s="102"/>
      <c r="L6" s="36" t="s">
        <v>25</v>
      </c>
      <c r="M6" s="36"/>
      <c r="N6" s="103">
        <v>550</v>
      </c>
      <c r="O6" s="65" t="s">
        <v>21</v>
      </c>
    </row>
    <row r="7" spans="4:15">
      <c r="D7" s="104" t="s">
        <v>26</v>
      </c>
      <c r="E7" s="102"/>
      <c r="F7" s="38" t="s">
        <v>27</v>
      </c>
      <c r="G7" s="66"/>
      <c r="H7" s="103">
        <v>0.165</v>
      </c>
      <c r="I7" s="65" t="s">
        <v>28</v>
      </c>
      <c r="K7" s="102"/>
      <c r="L7" s="36" t="s">
        <v>29</v>
      </c>
      <c r="M7" s="36"/>
      <c r="N7" s="103">
        <v>47</v>
      </c>
      <c r="O7" s="65" t="s">
        <v>21</v>
      </c>
    </row>
    <row r="8" ht="15.75" spans="4:15">
      <c r="D8" s="105" t="s">
        <v>30</v>
      </c>
      <c r="E8" s="102"/>
      <c r="F8" s="38" t="s">
        <v>31</v>
      </c>
      <c r="G8" s="66"/>
      <c r="H8" s="103">
        <v>0.04</v>
      </c>
      <c r="I8" s="65" t="s">
        <v>32</v>
      </c>
      <c r="K8" s="107"/>
      <c r="L8" s="113" t="s">
        <v>33</v>
      </c>
      <c r="M8" s="113"/>
      <c r="N8" s="114">
        <v>106</v>
      </c>
      <c r="O8" s="139" t="s">
        <v>21</v>
      </c>
    </row>
    <row r="9" ht="15.75" spans="5:12">
      <c r="E9" s="102"/>
      <c r="F9" s="38" t="s">
        <v>34</v>
      </c>
      <c r="G9" s="66"/>
      <c r="H9" s="103">
        <v>0.66</v>
      </c>
      <c r="I9" s="65" t="s">
        <v>28</v>
      </c>
      <c r="L9" s="115"/>
    </row>
    <row r="10" spans="5:15">
      <c r="E10" s="102"/>
      <c r="F10" s="38" t="s">
        <v>35</v>
      </c>
      <c r="G10" s="66"/>
      <c r="H10" s="103">
        <v>10.24</v>
      </c>
      <c r="I10" s="65" t="s">
        <v>32</v>
      </c>
      <c r="K10" s="136" t="s">
        <v>36</v>
      </c>
      <c r="L10" s="247" t="s">
        <v>37</v>
      </c>
      <c r="M10" s="248"/>
      <c r="N10" s="100">
        <v>128</v>
      </c>
      <c r="O10" s="54"/>
    </row>
    <row r="11" spans="5:15">
      <c r="E11" s="102"/>
      <c r="F11" s="38" t="s">
        <v>38</v>
      </c>
      <c r="G11" s="66"/>
      <c r="H11" s="106" t="s">
        <v>39</v>
      </c>
      <c r="I11" s="65"/>
      <c r="K11" s="249"/>
      <c r="L11" s="250" t="s">
        <v>40</v>
      </c>
      <c r="M11" s="14"/>
      <c r="N11" s="103">
        <v>128</v>
      </c>
      <c r="O11" s="65"/>
    </row>
    <row r="12" ht="15.75" spans="5:15">
      <c r="E12" s="107"/>
      <c r="F12" s="46" t="s">
        <v>41</v>
      </c>
      <c r="G12" s="78"/>
      <c r="H12" s="108" t="s">
        <v>42</v>
      </c>
      <c r="I12" s="139"/>
      <c r="K12" s="249"/>
      <c r="L12" s="251" t="s">
        <v>43</v>
      </c>
      <c r="M12" s="30"/>
      <c r="N12" s="114">
        <v>0</v>
      </c>
      <c r="O12" s="139" t="s">
        <v>18</v>
      </c>
    </row>
    <row r="13" ht="15.75" spans="5:15">
      <c r="E13" s="109"/>
      <c r="F13" s="7"/>
      <c r="G13" s="110"/>
      <c r="H13" s="111"/>
      <c r="I13" s="22"/>
      <c r="K13" s="249"/>
      <c r="L13" s="251" t="s">
        <v>44</v>
      </c>
      <c r="M13" s="30"/>
      <c r="N13" s="114">
        <v>1</v>
      </c>
      <c r="O13" s="139"/>
    </row>
    <row r="14" ht="15.75" spans="5:22">
      <c r="E14" s="97" t="s">
        <v>45</v>
      </c>
      <c r="F14" s="112" t="s">
        <v>46</v>
      </c>
      <c r="G14" s="112"/>
      <c r="H14" s="100">
        <v>2000000</v>
      </c>
      <c r="I14" s="54" t="s">
        <v>47</v>
      </c>
      <c r="K14" s="249"/>
      <c r="L14" s="251" t="s">
        <v>48</v>
      </c>
      <c r="M14" s="30"/>
      <c r="N14" s="114">
        <v>2</v>
      </c>
      <c r="O14" s="139"/>
      <c r="P14" s="22"/>
      <c r="Q14" s="22"/>
      <c r="R14" s="22"/>
      <c r="S14" s="22"/>
      <c r="T14" s="22"/>
      <c r="U14" s="22"/>
      <c r="V14" s="22"/>
    </row>
    <row r="15" ht="15.75" spans="5:22">
      <c r="E15" s="102"/>
      <c r="F15" s="36" t="s">
        <v>49</v>
      </c>
      <c r="G15" s="36"/>
      <c r="H15" s="103">
        <v>64000000</v>
      </c>
      <c r="I15" s="65" t="s">
        <v>50</v>
      </c>
      <c r="K15" s="252"/>
      <c r="L15" s="253" t="s">
        <v>51</v>
      </c>
      <c r="M15" s="203"/>
      <c r="N15" s="114">
        <v>80</v>
      </c>
      <c r="O15" s="139" t="s">
        <v>52</v>
      </c>
      <c r="P15" s="204" t="s">
        <v>53</v>
      </c>
      <c r="Q15" s="266"/>
      <c r="R15" s="183"/>
      <c r="S15" s="183"/>
      <c r="T15" s="22"/>
      <c r="U15" s="22"/>
      <c r="V15" s="22"/>
    </row>
    <row r="16" customHeight="1" spans="5:22">
      <c r="E16" s="102"/>
      <c r="F16" s="36" t="s">
        <v>54</v>
      </c>
      <c r="G16" s="36"/>
      <c r="H16" s="103">
        <v>64000000</v>
      </c>
      <c r="I16" s="65" t="s">
        <v>50</v>
      </c>
      <c r="P16" s="148"/>
      <c r="Q16" s="148"/>
      <c r="R16" s="148"/>
      <c r="S16" s="148"/>
      <c r="T16" s="184"/>
      <c r="U16" s="22"/>
      <c r="V16" s="22"/>
    </row>
    <row r="17" customHeight="1" spans="5:22">
      <c r="E17" s="102"/>
      <c r="F17" s="36" t="s">
        <v>55</v>
      </c>
      <c r="G17" s="36"/>
      <c r="H17" s="103">
        <v>64000000</v>
      </c>
      <c r="I17" s="65" t="s">
        <v>50</v>
      </c>
      <c r="K17" s="254" t="s">
        <v>56</v>
      </c>
      <c r="L17" s="255" t="s">
        <v>57</v>
      </c>
      <c r="M17" s="206"/>
      <c r="N17" s="207">
        <f>$J$34</f>
        <v>13.8</v>
      </c>
      <c r="O17" s="208" t="s">
        <v>18</v>
      </c>
      <c r="P17" s="149"/>
      <c r="Q17" s="149"/>
      <c r="R17" s="149"/>
      <c r="S17" s="149"/>
      <c r="T17" s="149"/>
      <c r="U17" s="22"/>
      <c r="V17" s="22"/>
    </row>
    <row r="18" ht="15.75" spans="5:22">
      <c r="E18" s="107"/>
      <c r="F18" s="113" t="s">
        <v>58</v>
      </c>
      <c r="G18" s="113"/>
      <c r="H18" s="114">
        <v>100000</v>
      </c>
      <c r="I18" s="139" t="s">
        <v>50</v>
      </c>
      <c r="K18" s="256"/>
      <c r="L18" s="257" t="s">
        <v>59</v>
      </c>
      <c r="M18" s="214"/>
      <c r="N18" s="258">
        <f>$J$37</f>
        <v>9.712</v>
      </c>
      <c r="O18" s="216" t="s">
        <v>18</v>
      </c>
      <c r="P18" s="152"/>
      <c r="Q18" s="152"/>
      <c r="R18" s="111"/>
      <c r="S18" s="111"/>
      <c r="T18" s="22"/>
      <c r="U18" s="22"/>
      <c r="V18" s="22"/>
    </row>
    <row r="19" spans="6:22">
      <c r="F19" s="115"/>
      <c r="P19" s="22"/>
      <c r="Q19" s="184"/>
      <c r="R19" s="184"/>
      <c r="S19" s="184"/>
      <c r="T19" s="184"/>
      <c r="U19" s="22"/>
      <c r="V19" s="22"/>
    </row>
    <row r="20" ht="19.5" spans="5:22">
      <c r="E20" s="96" t="s">
        <v>60</v>
      </c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22"/>
      <c r="S20" s="22"/>
      <c r="T20" s="22"/>
      <c r="U20" s="22"/>
      <c r="V20" s="22"/>
    </row>
    <row r="21" ht="14.25" customHeight="1" spans="5:22">
      <c r="E21" s="190" t="s">
        <v>61</v>
      </c>
      <c r="F21" s="191"/>
      <c r="G21" s="118" t="s">
        <v>62</v>
      </c>
      <c r="H21" s="119"/>
      <c r="I21" s="119"/>
      <c r="J21" s="153"/>
      <c r="K21" s="118" t="s">
        <v>63</v>
      </c>
      <c r="L21" s="119"/>
      <c r="M21" s="119"/>
      <c r="N21" s="153"/>
      <c r="O21" s="190" t="s">
        <v>64</v>
      </c>
      <c r="P21" s="219"/>
      <c r="Q21" s="219"/>
      <c r="R21" s="219"/>
      <c r="S21" s="219"/>
      <c r="T21" s="242"/>
      <c r="U21" s="22"/>
      <c r="V21" s="22"/>
    </row>
    <row r="22" customHeight="1" spans="5:22">
      <c r="E22" s="192"/>
      <c r="F22" s="193"/>
      <c r="G22" s="122" t="s">
        <v>65</v>
      </c>
      <c r="H22" s="123"/>
      <c r="I22" s="123" t="s">
        <v>66</v>
      </c>
      <c r="J22" s="157"/>
      <c r="K22" s="158" t="s">
        <v>67</v>
      </c>
      <c r="L22" s="159"/>
      <c r="M22" s="159" t="s">
        <v>68</v>
      </c>
      <c r="N22" s="259"/>
      <c r="O22" s="192" t="s">
        <v>69</v>
      </c>
      <c r="P22" s="260"/>
      <c r="Q22" s="267" t="s">
        <v>70</v>
      </c>
      <c r="R22" s="267"/>
      <c r="S22" s="267" t="s">
        <v>71</v>
      </c>
      <c r="T22" s="268"/>
      <c r="U22" s="22"/>
      <c r="V22" s="22"/>
    </row>
    <row r="23" spans="5:20">
      <c r="E23" s="124" t="s">
        <v>46</v>
      </c>
      <c r="F23" s="51"/>
      <c r="G23" s="125">
        <f>$K$123</f>
        <v>15.49</v>
      </c>
      <c r="H23" s="126"/>
      <c r="I23" s="261">
        <f>H5-N17-N18-G23</f>
        <v>10.998</v>
      </c>
      <c r="J23" s="262"/>
      <c r="K23" s="162">
        <f>$K$126</f>
        <v>9770</v>
      </c>
      <c r="L23" s="126"/>
      <c r="M23" s="263">
        <f>$K$128</f>
        <v>814.166666666667</v>
      </c>
      <c r="N23" s="161"/>
      <c r="O23" s="264">
        <f>H5-G23</f>
        <v>34.51</v>
      </c>
      <c r="P23" s="261"/>
      <c r="Q23" s="261">
        <f>(N13*H5)-G23</f>
        <v>34.51</v>
      </c>
      <c r="R23" s="261"/>
      <c r="S23" s="261">
        <f>IF($N$14&gt;=2,($H$5-G23)+(G23*$N$15/100),($H$5-G23))</f>
        <v>46.902</v>
      </c>
      <c r="T23" s="262"/>
    </row>
    <row r="24" spans="5:20">
      <c r="E24" s="127" t="s">
        <v>49</v>
      </c>
      <c r="F24" s="38"/>
      <c r="G24" s="128">
        <f>$K$97</f>
        <v>1.16275</v>
      </c>
      <c r="H24" s="129"/>
      <c r="I24" s="232">
        <f>H5-N17-N18-G24</f>
        <v>25.32525</v>
      </c>
      <c r="J24" s="233"/>
      <c r="K24" s="167">
        <f>$K$107</f>
        <v>386014.753246753</v>
      </c>
      <c r="L24" s="129"/>
      <c r="M24" s="235">
        <f>$K$111</f>
        <v>32167.8961038961</v>
      </c>
      <c r="N24" s="166"/>
      <c r="O24" s="237">
        <f>H5-G24</f>
        <v>48.83725</v>
      </c>
      <c r="P24" s="232"/>
      <c r="Q24" s="232">
        <f>(N13*H5)-G24</f>
        <v>48.83725</v>
      </c>
      <c r="R24" s="232"/>
      <c r="S24" s="261">
        <f>IF($N$14&gt;=2,($H$5-G24)+(G24*$N$15/100),($H$5-G24))</f>
        <v>49.76745</v>
      </c>
      <c r="T24" s="262"/>
    </row>
    <row r="25" spans="5:20">
      <c r="E25" s="127" t="s">
        <v>54</v>
      </c>
      <c r="F25" s="38"/>
      <c r="G25" s="128">
        <f>$K$98</f>
        <v>0.967875</v>
      </c>
      <c r="H25" s="129"/>
      <c r="I25" s="232">
        <f>H5-N17-N18-G25</f>
        <v>25.520125</v>
      </c>
      <c r="J25" s="233"/>
      <c r="K25" s="167">
        <f>$K$108</f>
        <v>772049.454545455</v>
      </c>
      <c r="L25" s="129"/>
      <c r="M25" s="235">
        <f>$K$112</f>
        <v>64337.4545454546</v>
      </c>
      <c r="N25" s="166"/>
      <c r="O25" s="237">
        <f>H5-G25</f>
        <v>49.032125</v>
      </c>
      <c r="P25" s="232"/>
      <c r="Q25" s="232">
        <f>(N13*H5)-G25</f>
        <v>49.032125</v>
      </c>
      <c r="R25" s="232"/>
      <c r="S25" s="261">
        <f>IF($N$14&gt;=2,($H$5-G25)+(G25*$N$15/100),($H$5-G25))</f>
        <v>49.806425</v>
      </c>
      <c r="T25" s="262"/>
    </row>
    <row r="26" spans="5:20">
      <c r="E26" s="127" t="s">
        <v>55</v>
      </c>
      <c r="F26" s="38"/>
      <c r="G26" s="128">
        <f>$K$99</f>
        <v>0.8704375</v>
      </c>
      <c r="H26" s="129"/>
      <c r="I26" s="232">
        <f>H5-N17-N18-G26</f>
        <v>25.6175625</v>
      </c>
      <c r="J26" s="233"/>
      <c r="K26" s="167">
        <f>$K$109</f>
        <v>1544118.85714286</v>
      </c>
      <c r="L26" s="129"/>
      <c r="M26" s="235">
        <f>$K$113</f>
        <v>128676.571428571</v>
      </c>
      <c r="N26" s="166"/>
      <c r="O26" s="237">
        <f>H5-G26</f>
        <v>49.1295625</v>
      </c>
      <c r="P26" s="232"/>
      <c r="Q26" s="232">
        <f>(N13*H5)-G26</f>
        <v>49.1295625</v>
      </c>
      <c r="R26" s="232"/>
      <c r="S26" s="261">
        <f>IF($N$14&gt;=2,($H$5-G26)+(G26*$N$15/100),($H$5-G26))</f>
        <v>49.8259125</v>
      </c>
      <c r="T26" s="262"/>
    </row>
    <row r="27" ht="15.75" spans="5:20">
      <c r="E27" s="130" t="s">
        <v>58</v>
      </c>
      <c r="F27" s="46"/>
      <c r="G27" s="131">
        <f>K67</f>
        <v>281.783</v>
      </c>
      <c r="H27" s="132"/>
      <c r="I27" s="238">
        <f>H5-N17-N18-G27</f>
        <v>-255.295</v>
      </c>
      <c r="J27" s="239"/>
      <c r="K27" s="131">
        <f>$K$71</f>
        <v>511</v>
      </c>
      <c r="L27" s="132"/>
      <c r="M27" s="132">
        <f>$K$73</f>
        <v>42</v>
      </c>
      <c r="N27" s="171"/>
      <c r="O27" s="265">
        <f>H5-G27</f>
        <v>-231.783</v>
      </c>
      <c r="P27" s="238"/>
      <c r="Q27" s="238">
        <f>(N13*H5)-G27</f>
        <v>-231.783</v>
      </c>
      <c r="R27" s="238"/>
      <c r="S27" s="269">
        <f>IF($N$14&gt;=2,($H$5-G27)+(G27*$N$15/100),($H$5-G27))</f>
        <v>-6.35660000000001</v>
      </c>
      <c r="T27" s="270"/>
    </row>
    <row r="28" ht="215" customHeight="1" spans="6:6">
      <c r="F28" s="7"/>
    </row>
    <row r="29" ht="23.25" spans="5:17">
      <c r="E29" s="133" t="s">
        <v>72</v>
      </c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</row>
    <row r="30" spans="6:6">
      <c r="F30" s="1" t="s">
        <v>73</v>
      </c>
    </row>
    <row r="31" spans="7:7">
      <c r="G31" s="1" t="s">
        <v>74</v>
      </c>
    </row>
    <row r="32" spans="8:18">
      <c r="H32" s="134" t="s">
        <v>75</v>
      </c>
      <c r="I32" s="134"/>
      <c r="J32" s="173">
        <f>INT((300000000/($H$6*1000000000+((300000000/(2*$H$8*1000/100))/2)))/(4*$H$9)*1000000)</f>
        <v>1952</v>
      </c>
      <c r="K32" s="174" t="s">
        <v>21</v>
      </c>
      <c r="L32" s="134" t="s">
        <v>76</v>
      </c>
      <c r="M32" s="134"/>
      <c r="N32" s="175">
        <f>ROUNDUP(($J$33/10+10)/1000*$R$32*(IF($H$11="2T4R",2,1)),2)</f>
        <v>0.08</v>
      </c>
      <c r="O32" s="174" t="s">
        <v>18</v>
      </c>
      <c r="P32" s="134" t="s">
        <v>77</v>
      </c>
      <c r="Q32" s="134"/>
      <c r="R32" s="178">
        <v>1</v>
      </c>
    </row>
    <row r="33" spans="8:14">
      <c r="H33" s="134" t="s">
        <v>78</v>
      </c>
      <c r="I33" s="134"/>
      <c r="J33" s="176">
        <f>POWER(2,(LOG(($H$10*1000)/($H$8/1000),2)))/1000000</f>
        <v>256</v>
      </c>
      <c r="L33" s="134" t="s">
        <v>79</v>
      </c>
      <c r="M33" s="134"/>
      <c r="N33" s="176">
        <f>POWER(2,(LOG(2*($H$9*1000)/($H$7/1000),2)))/1000000</f>
        <v>8</v>
      </c>
    </row>
    <row r="34" spans="8:11">
      <c r="H34" s="134" t="s">
        <v>80</v>
      </c>
      <c r="I34" s="134"/>
      <c r="J34" s="176">
        <f>ROUNDUP(IF($H$12="2DFFT",(($J$32*($N$33-1))/1000+$N$32),$N$32),1)</f>
        <v>13.8</v>
      </c>
      <c r="K34" s="174" t="s">
        <v>18</v>
      </c>
    </row>
    <row r="35" spans="7:7">
      <c r="G35" s="1" t="s">
        <v>81</v>
      </c>
    </row>
    <row r="36" spans="8:15">
      <c r="H36" s="134" t="s">
        <v>82</v>
      </c>
      <c r="I36" s="134"/>
      <c r="J36" s="177">
        <f>($N$36*$N$10)/1000</f>
        <v>3.712</v>
      </c>
      <c r="K36" s="1" t="s">
        <v>18</v>
      </c>
      <c r="L36" s="134" t="s">
        <v>83</v>
      </c>
      <c r="M36" s="134"/>
      <c r="N36" s="178">
        <v>29</v>
      </c>
      <c r="O36" s="1" t="s">
        <v>84</v>
      </c>
    </row>
    <row r="37" spans="8:15">
      <c r="H37" s="134" t="s">
        <v>85</v>
      </c>
      <c r="I37" s="134"/>
      <c r="J37" s="179">
        <f>J36+N37</f>
        <v>9.712</v>
      </c>
      <c r="K37" s="1" t="s">
        <v>18</v>
      </c>
      <c r="L37" s="134" t="s">
        <v>86</v>
      </c>
      <c r="M37" s="134"/>
      <c r="N37" s="178">
        <v>6</v>
      </c>
      <c r="O37" s="1" t="s">
        <v>87</v>
      </c>
    </row>
    <row r="38" spans="6:6">
      <c r="F38" s="1" t="s">
        <v>88</v>
      </c>
    </row>
    <row r="39" spans="7:7">
      <c r="G39" s="1" t="s">
        <v>89</v>
      </c>
    </row>
    <row r="40" spans="8:11">
      <c r="H40" s="135" t="s">
        <v>90</v>
      </c>
      <c r="I40" s="135"/>
      <c r="J40" s="178">
        <v>12</v>
      </c>
      <c r="K40" s="1" t="s">
        <v>91</v>
      </c>
    </row>
    <row r="41" spans="8:11">
      <c r="H41" s="135" t="s">
        <v>92</v>
      </c>
      <c r="I41" s="135"/>
      <c r="J41" s="178">
        <v>16</v>
      </c>
      <c r="K41" s="1" t="s">
        <v>91</v>
      </c>
    </row>
    <row r="42" spans="8:17">
      <c r="H42" s="135" t="s">
        <v>93</v>
      </c>
      <c r="I42" s="135"/>
      <c r="J42" s="177">
        <f>N42+Q42</f>
        <v>256</v>
      </c>
      <c r="K42" s="1" t="s">
        <v>94</v>
      </c>
      <c r="L42" s="135" t="s">
        <v>95</v>
      </c>
      <c r="M42" s="135"/>
      <c r="N42" s="177">
        <f>$N$10</f>
        <v>128</v>
      </c>
      <c r="O42" s="135" t="s">
        <v>96</v>
      </c>
      <c r="P42" s="135"/>
      <c r="Q42" s="177">
        <f>$N$11</f>
        <v>128</v>
      </c>
    </row>
    <row r="43" spans="8:17">
      <c r="H43" s="135" t="s">
        <v>97</v>
      </c>
      <c r="I43" s="135"/>
      <c r="J43" s="177">
        <f>(J42*J40)+J41</f>
        <v>3088</v>
      </c>
      <c r="K43" s="1" t="s">
        <v>91</v>
      </c>
      <c r="L43" s="135" t="s">
        <v>98</v>
      </c>
      <c r="M43" s="135"/>
      <c r="N43" s="135"/>
      <c r="O43" s="135"/>
      <c r="P43" s="135"/>
      <c r="Q43" s="135"/>
    </row>
    <row r="44" spans="7:7">
      <c r="G44" s="1" t="s">
        <v>99</v>
      </c>
    </row>
    <row r="45" spans="8:16">
      <c r="H45" s="135" t="s">
        <v>100</v>
      </c>
      <c r="I45" s="135"/>
      <c r="J45" s="178">
        <v>3840</v>
      </c>
      <c r="K45" s="1" t="s">
        <v>91</v>
      </c>
      <c r="L45" s="135" t="s">
        <v>101</v>
      </c>
      <c r="M45" s="135"/>
      <c r="N45" s="178">
        <v>10</v>
      </c>
      <c r="O45" s="1" t="s">
        <v>91</v>
      </c>
      <c r="P45" s="1" t="s">
        <v>102</v>
      </c>
    </row>
    <row r="46" spans="8:15">
      <c r="H46" s="135" t="s">
        <v>103</v>
      </c>
      <c r="I46" s="135"/>
      <c r="J46" s="177">
        <f>INT(J43/J45)</f>
        <v>0</v>
      </c>
      <c r="K46" s="1" t="s">
        <v>94</v>
      </c>
      <c r="L46" s="135" t="s">
        <v>104</v>
      </c>
      <c r="M46" s="135"/>
      <c r="N46" s="177">
        <f>J45+N45</f>
        <v>3850</v>
      </c>
      <c r="O46" s="1" t="s">
        <v>91</v>
      </c>
    </row>
    <row r="47" spans="8:15">
      <c r="H47" s="135" t="s">
        <v>105</v>
      </c>
      <c r="I47" s="135"/>
      <c r="J47" s="177">
        <f>J43-(J45*J46)</f>
        <v>3088</v>
      </c>
      <c r="K47" s="1" t="s">
        <v>94</v>
      </c>
      <c r="L47" s="135" t="s">
        <v>106</v>
      </c>
      <c r="M47" s="135"/>
      <c r="N47" s="177">
        <f>J47+N45</f>
        <v>3098</v>
      </c>
      <c r="O47" s="1" t="s">
        <v>91</v>
      </c>
    </row>
    <row r="48" spans="6:6">
      <c r="F48" s="1" t="s">
        <v>107</v>
      </c>
    </row>
    <row r="49" spans="7:7">
      <c r="G49" s="1" t="s">
        <v>108</v>
      </c>
    </row>
    <row r="50" spans="8:8">
      <c r="H50" s="1" t="s">
        <v>109</v>
      </c>
    </row>
    <row r="51" spans="8:19">
      <c r="H51" s="135" t="s">
        <v>110</v>
      </c>
      <c r="I51" s="135"/>
      <c r="J51" s="178">
        <v>9</v>
      </c>
      <c r="K51" s="1" t="s">
        <v>111</v>
      </c>
      <c r="L51" s="135" t="s">
        <v>112</v>
      </c>
      <c r="M51" s="135"/>
      <c r="N51" s="178">
        <v>9</v>
      </c>
      <c r="O51" s="1" t="s">
        <v>111</v>
      </c>
      <c r="P51" s="135" t="s">
        <v>113</v>
      </c>
      <c r="Q51" s="135"/>
      <c r="R51" s="178">
        <v>4</v>
      </c>
      <c r="S51" s="1" t="s">
        <v>111</v>
      </c>
    </row>
    <row r="52" spans="8:8">
      <c r="H52" s="1" t="s">
        <v>114</v>
      </c>
    </row>
    <row r="53" spans="9:12">
      <c r="I53" s="135" t="s">
        <v>115</v>
      </c>
      <c r="J53" s="135"/>
      <c r="K53" s="178">
        <v>14</v>
      </c>
      <c r="L53" s="1" t="s">
        <v>91</v>
      </c>
    </row>
    <row r="54" spans="9:16">
      <c r="I54" s="135" t="s">
        <v>116</v>
      </c>
      <c r="J54" s="135"/>
      <c r="K54" s="180">
        <f>(O54*(1/$H$18))*1000</f>
        <v>1.39</v>
      </c>
      <c r="L54" s="1" t="s">
        <v>18</v>
      </c>
      <c r="M54" s="135" t="s">
        <v>117</v>
      </c>
      <c r="N54" s="135"/>
      <c r="O54" s="177">
        <f>(K53*J51)+N51+R51</f>
        <v>139</v>
      </c>
      <c r="P54" s="1" t="s">
        <v>111</v>
      </c>
    </row>
    <row r="55" spans="8:8">
      <c r="H55" s="1" t="s">
        <v>118</v>
      </c>
    </row>
    <row r="56" spans="9:12">
      <c r="I56" s="135" t="s">
        <v>115</v>
      </c>
      <c r="J56" s="135"/>
      <c r="K56" s="178">
        <v>6</v>
      </c>
      <c r="L56" s="1" t="s">
        <v>91</v>
      </c>
    </row>
    <row r="57" spans="9:16">
      <c r="I57" s="135" t="s">
        <v>116</v>
      </c>
      <c r="J57" s="135"/>
      <c r="K57" s="180">
        <f>(O57*(1/$H$18))*1000</f>
        <v>0.67</v>
      </c>
      <c r="L57" s="1" t="s">
        <v>18</v>
      </c>
      <c r="M57" s="135" t="s">
        <v>117</v>
      </c>
      <c r="N57" s="135"/>
      <c r="O57" s="177">
        <f>(K56*J51)+N51+R51</f>
        <v>67</v>
      </c>
      <c r="P57" s="1" t="s">
        <v>111</v>
      </c>
    </row>
    <row r="58" spans="8:8">
      <c r="H58" s="1" t="s">
        <v>119</v>
      </c>
    </row>
    <row r="59" spans="9:12">
      <c r="I59" s="135" t="s">
        <v>115</v>
      </c>
      <c r="J59" s="135"/>
      <c r="K59" s="181">
        <f>N46</f>
        <v>3850</v>
      </c>
      <c r="L59" s="1" t="s">
        <v>91</v>
      </c>
    </row>
    <row r="60" spans="9:16">
      <c r="I60" s="135" t="s">
        <v>116</v>
      </c>
      <c r="J60" s="135"/>
      <c r="K60" s="180">
        <f>(O60*(1/$H$18))*1000</f>
        <v>346.63</v>
      </c>
      <c r="L60" s="1" t="s">
        <v>18</v>
      </c>
      <c r="M60" s="135" t="s">
        <v>117</v>
      </c>
      <c r="N60" s="135"/>
      <c r="O60" s="177">
        <f>(K59*J51)+N51+R51</f>
        <v>34663</v>
      </c>
      <c r="P60" s="1" t="s">
        <v>111</v>
      </c>
    </row>
    <row r="61" spans="9:16">
      <c r="I61" s="135" t="s">
        <v>120</v>
      </c>
      <c r="J61" s="135"/>
      <c r="K61" s="180">
        <f>K60+O61</f>
        <v>346.783</v>
      </c>
      <c r="L61" s="1" t="s">
        <v>18</v>
      </c>
      <c r="M61" s="135" t="s">
        <v>121</v>
      </c>
      <c r="N61" s="135"/>
      <c r="O61" s="177">
        <f>($N$7+$N$8)/1000</f>
        <v>0.153</v>
      </c>
      <c r="P61" s="1" t="s">
        <v>18</v>
      </c>
    </row>
    <row r="62" spans="8:8">
      <c r="H62" s="1" t="s">
        <v>122</v>
      </c>
    </row>
    <row r="63" spans="9:12">
      <c r="I63" s="135" t="s">
        <v>115</v>
      </c>
      <c r="J63" s="135"/>
      <c r="K63" s="181">
        <f>N47</f>
        <v>3098</v>
      </c>
      <c r="L63" s="1" t="s">
        <v>91</v>
      </c>
    </row>
    <row r="64" spans="9:16">
      <c r="I64" s="135" t="s">
        <v>116</v>
      </c>
      <c r="J64" s="135"/>
      <c r="K64" s="180">
        <f>(O64*(1/$H$18))*1000</f>
        <v>278.95</v>
      </c>
      <c r="L64" s="1" t="s">
        <v>18</v>
      </c>
      <c r="M64" s="135" t="s">
        <v>117</v>
      </c>
      <c r="N64" s="135"/>
      <c r="O64" s="177">
        <f>(K63*J51)+N51+R51</f>
        <v>27895</v>
      </c>
      <c r="P64" s="1" t="s">
        <v>111</v>
      </c>
    </row>
    <row r="65" spans="9:16">
      <c r="I65" s="135" t="s">
        <v>120</v>
      </c>
      <c r="J65" s="135"/>
      <c r="K65" s="180">
        <f>K64+O65</f>
        <v>279.103</v>
      </c>
      <c r="L65" s="1" t="s">
        <v>18</v>
      </c>
      <c r="M65" s="135" t="s">
        <v>121</v>
      </c>
      <c r="N65" s="135"/>
      <c r="O65" s="177">
        <f>($N$7+$N$8)/1000</f>
        <v>0.153</v>
      </c>
      <c r="P65" s="1" t="s">
        <v>18</v>
      </c>
    </row>
    <row r="66" spans="8:8">
      <c r="H66" s="1" t="s">
        <v>123</v>
      </c>
    </row>
    <row r="67" spans="9:16">
      <c r="I67" s="135" t="s">
        <v>120</v>
      </c>
      <c r="J67" s="135"/>
      <c r="K67" s="180">
        <f>K54+K57+(K61*J46)+K65+O67</f>
        <v>281.783</v>
      </c>
      <c r="L67" s="1" t="s">
        <v>18</v>
      </c>
      <c r="M67" s="135" t="s">
        <v>121</v>
      </c>
      <c r="N67" s="135"/>
      <c r="O67" s="177">
        <f>($N$5+$N$6)/1000</f>
        <v>0.62</v>
      </c>
      <c r="P67" s="1" t="s">
        <v>18</v>
      </c>
    </row>
    <row r="68" spans="8:8">
      <c r="H68" s="1" t="s">
        <v>124</v>
      </c>
    </row>
    <row r="69" spans="9:16">
      <c r="I69" s="135" t="s">
        <v>125</v>
      </c>
      <c r="J69" s="135"/>
      <c r="K69" s="180">
        <f>$H$5-O69</f>
        <v>47.32</v>
      </c>
      <c r="L69" s="1" t="s">
        <v>18</v>
      </c>
      <c r="M69" s="135" t="s">
        <v>126</v>
      </c>
      <c r="N69" s="135"/>
      <c r="O69" s="180">
        <f>K54+K57+O67</f>
        <v>2.68</v>
      </c>
      <c r="P69" s="1" t="s">
        <v>18</v>
      </c>
    </row>
    <row r="70" spans="9:16">
      <c r="I70" s="135" t="s">
        <v>127</v>
      </c>
      <c r="J70" s="135"/>
      <c r="K70" s="180">
        <f>INT(K69/K61)</f>
        <v>0</v>
      </c>
      <c r="L70" s="1" t="s">
        <v>94</v>
      </c>
      <c r="M70" s="135" t="s">
        <v>128</v>
      </c>
      <c r="N70" s="135"/>
      <c r="O70" s="180">
        <f>((K69-O65)*$H$18)/1000</f>
        <v>4716.7</v>
      </c>
      <c r="P70" s="1" t="s">
        <v>111</v>
      </c>
    </row>
    <row r="71" spans="9:16">
      <c r="I71" s="135" t="s">
        <v>129</v>
      </c>
      <c r="J71" s="135"/>
      <c r="K71" s="180">
        <f>(K70*J45)+O71</f>
        <v>511</v>
      </c>
      <c r="L71" s="1" t="s">
        <v>91</v>
      </c>
      <c r="M71" s="135" t="s">
        <v>130</v>
      </c>
      <c r="N71" s="135"/>
      <c r="O71" s="180">
        <f>INT((O70-2*(R51+N51))/J51)-N45</f>
        <v>511</v>
      </c>
      <c r="P71" s="1" t="s">
        <v>91</v>
      </c>
    </row>
    <row r="72" spans="8:8">
      <c r="H72" s="1" t="s">
        <v>131</v>
      </c>
    </row>
    <row r="73" spans="9:12">
      <c r="I73" s="1" t="s">
        <v>132</v>
      </c>
      <c r="K73" s="180">
        <f>INT(K71/J40)</f>
        <v>42</v>
      </c>
      <c r="L73" s="1" t="s">
        <v>91</v>
      </c>
    </row>
    <row r="74" spans="7:7">
      <c r="G74" s="1" t="s">
        <v>133</v>
      </c>
    </row>
    <row r="75" spans="8:8">
      <c r="H75" s="1" t="s">
        <v>109</v>
      </c>
    </row>
    <row r="76" spans="8:8">
      <c r="H76" s="1" t="s">
        <v>134</v>
      </c>
    </row>
    <row r="77" spans="9:16">
      <c r="I77" s="135" t="s">
        <v>115</v>
      </c>
      <c r="J77" s="135"/>
      <c r="K77" s="178">
        <v>14</v>
      </c>
      <c r="L77" s="1" t="s">
        <v>91</v>
      </c>
      <c r="M77" s="135" t="s">
        <v>117</v>
      </c>
      <c r="N77" s="135"/>
      <c r="O77" s="177">
        <f>K77*8</f>
        <v>112</v>
      </c>
      <c r="P77" s="1" t="s">
        <v>111</v>
      </c>
    </row>
    <row r="78" spans="9:12">
      <c r="I78" s="135" t="s">
        <v>135</v>
      </c>
      <c r="J78" s="135"/>
      <c r="K78" s="179">
        <f>((O77*(1/$H$15))/1)*1000000</f>
        <v>1.75</v>
      </c>
      <c r="L78" s="1" t="s">
        <v>21</v>
      </c>
    </row>
    <row r="79" spans="9:12">
      <c r="I79" s="135" t="s">
        <v>136</v>
      </c>
      <c r="J79" s="135"/>
      <c r="K79" s="179">
        <f>((O77*(1/$H$16))/2)*1000000</f>
        <v>0.875</v>
      </c>
      <c r="L79" s="1" t="s">
        <v>21</v>
      </c>
    </row>
    <row r="80" spans="9:12">
      <c r="I80" s="135" t="s">
        <v>137</v>
      </c>
      <c r="J80" s="135"/>
      <c r="K80" s="179">
        <f>((O77*(1/$H$17))/4)*1000000</f>
        <v>0.4375</v>
      </c>
      <c r="L80" s="1" t="s">
        <v>21</v>
      </c>
    </row>
    <row r="81" spans="8:8">
      <c r="H81" s="1" t="s">
        <v>138</v>
      </c>
    </row>
    <row r="82" spans="9:16">
      <c r="I82" s="135" t="s">
        <v>115</v>
      </c>
      <c r="J82" s="135"/>
      <c r="K82" s="178">
        <v>6</v>
      </c>
      <c r="L82" s="1" t="s">
        <v>91</v>
      </c>
      <c r="M82" s="135" t="s">
        <v>117</v>
      </c>
      <c r="N82" s="135"/>
      <c r="O82" s="177">
        <f>K82*8</f>
        <v>48</v>
      </c>
      <c r="P82" s="1" t="s">
        <v>111</v>
      </c>
    </row>
    <row r="83" spans="9:12">
      <c r="I83" s="135" t="s">
        <v>135</v>
      </c>
      <c r="J83" s="135"/>
      <c r="K83" s="179">
        <f>((O82*(1/$H$15))/1)*1000000</f>
        <v>0.75</v>
      </c>
      <c r="L83" s="1" t="s">
        <v>21</v>
      </c>
    </row>
    <row r="84" spans="9:12">
      <c r="I84" s="135" t="s">
        <v>136</v>
      </c>
      <c r="J84" s="135"/>
      <c r="K84" s="179">
        <f>((O82*(1/$H$16))/2)*1000000</f>
        <v>0.375</v>
      </c>
      <c r="L84" s="1" t="s">
        <v>21</v>
      </c>
    </row>
    <row r="85" spans="9:12">
      <c r="I85" s="135" t="s">
        <v>137</v>
      </c>
      <c r="J85" s="135"/>
      <c r="K85" s="179">
        <f>((O82*(1/$H$17))/4)*1000000</f>
        <v>0.1875</v>
      </c>
      <c r="L85" s="1" t="s">
        <v>21</v>
      </c>
    </row>
    <row r="86" spans="8:8">
      <c r="H86" s="1" t="s">
        <v>139</v>
      </c>
    </row>
    <row r="87" spans="9:16">
      <c r="I87" s="135" t="s">
        <v>115</v>
      </c>
      <c r="J87" s="135"/>
      <c r="K87" s="181">
        <f>N46</f>
        <v>3850</v>
      </c>
      <c r="L87" s="1" t="s">
        <v>91</v>
      </c>
      <c r="M87" s="135" t="s">
        <v>117</v>
      </c>
      <c r="N87" s="135"/>
      <c r="O87" s="177">
        <f>K87*8</f>
        <v>30800</v>
      </c>
      <c r="P87" s="1" t="s">
        <v>111</v>
      </c>
    </row>
    <row r="88" spans="9:12">
      <c r="I88" s="135" t="s">
        <v>135</v>
      </c>
      <c r="J88" s="135"/>
      <c r="K88" s="179">
        <f>((O87*(1/$H$15))/1)*1000000+($N$7+$N$8)</f>
        <v>634.25</v>
      </c>
      <c r="L88" s="1" t="s">
        <v>21</v>
      </c>
    </row>
    <row r="89" spans="9:12">
      <c r="I89" s="135" t="s">
        <v>136</v>
      </c>
      <c r="J89" s="135"/>
      <c r="K89" s="179">
        <f>((O87*(1/$H$16))/2)*1000000+($N$7+$N$8)</f>
        <v>393.625</v>
      </c>
      <c r="L89" s="1" t="s">
        <v>21</v>
      </c>
    </row>
    <row r="90" spans="9:12">
      <c r="I90" s="135" t="s">
        <v>137</v>
      </c>
      <c r="J90" s="135"/>
      <c r="K90" s="179">
        <f>((O87*(1/$H$17))/4)*1000000+($N$7+$N$8)</f>
        <v>273.3125</v>
      </c>
      <c r="L90" s="1" t="s">
        <v>21</v>
      </c>
    </row>
    <row r="91" spans="8:8">
      <c r="H91" s="1" t="s">
        <v>140</v>
      </c>
    </row>
    <row r="92" spans="9:16">
      <c r="I92" s="135" t="s">
        <v>115</v>
      </c>
      <c r="J92" s="135"/>
      <c r="K92" s="181">
        <f>N47</f>
        <v>3098</v>
      </c>
      <c r="L92" s="1" t="s">
        <v>91</v>
      </c>
      <c r="M92" s="135" t="s">
        <v>117</v>
      </c>
      <c r="N92" s="135"/>
      <c r="O92" s="177">
        <f>K92*8</f>
        <v>24784</v>
      </c>
      <c r="P92" s="1" t="s">
        <v>111</v>
      </c>
    </row>
    <row r="93" spans="9:12">
      <c r="I93" s="135" t="s">
        <v>135</v>
      </c>
      <c r="J93" s="135"/>
      <c r="K93" s="179">
        <f>((O92*(1/$H$15))/1)*1000000+($N$7+$N$8)</f>
        <v>540.25</v>
      </c>
      <c r="L93" s="1" t="s">
        <v>21</v>
      </c>
    </row>
    <row r="94" spans="9:12">
      <c r="I94" s="135" t="s">
        <v>136</v>
      </c>
      <c r="J94" s="135"/>
      <c r="K94" s="179">
        <f>((O92*(1/$H$16))/2)*1000000+($N$7+$N$8)</f>
        <v>346.625</v>
      </c>
      <c r="L94" s="1" t="s">
        <v>21</v>
      </c>
    </row>
    <row r="95" spans="9:12">
      <c r="I95" s="135" t="s">
        <v>137</v>
      </c>
      <c r="J95" s="135"/>
      <c r="K95" s="179">
        <f>((O92*(1/$H$17))/4)*1000000+($N$7+$N$8)</f>
        <v>249.8125</v>
      </c>
      <c r="L95" s="1" t="s">
        <v>21</v>
      </c>
    </row>
    <row r="96" spans="8:8">
      <c r="H96" s="1" t="s">
        <v>141</v>
      </c>
    </row>
    <row r="97" spans="9:16">
      <c r="I97" s="135" t="s">
        <v>135</v>
      </c>
      <c r="J97" s="135"/>
      <c r="K97" s="180">
        <f>(K78+K83+(K88*J46)+K93)/1000+O97</f>
        <v>1.16275</v>
      </c>
      <c r="L97" s="1" t="s">
        <v>18</v>
      </c>
      <c r="M97" s="135" t="s">
        <v>121</v>
      </c>
      <c r="N97" s="135"/>
      <c r="O97" s="177">
        <f>($N$5+$N$6)/1000</f>
        <v>0.62</v>
      </c>
      <c r="P97" s="1" t="s">
        <v>18</v>
      </c>
    </row>
    <row r="98" spans="9:15">
      <c r="I98" s="135" t="s">
        <v>136</v>
      </c>
      <c r="J98" s="135"/>
      <c r="K98" s="180">
        <f>(K79+K84+(K89*J46)+K94)/1000+O97</f>
        <v>0.967875</v>
      </c>
      <c r="L98" s="1" t="s">
        <v>18</v>
      </c>
      <c r="M98" s="135"/>
      <c r="N98" s="135"/>
      <c r="O98" s="186"/>
    </row>
    <row r="99" spans="9:15">
      <c r="I99" s="135" t="s">
        <v>137</v>
      </c>
      <c r="J99" s="135"/>
      <c r="K99" s="180">
        <f>(K80+K85+(K90*J46)+K95)/1000+O97</f>
        <v>0.8704375</v>
      </c>
      <c r="L99" s="1" t="s">
        <v>18</v>
      </c>
      <c r="M99" s="135"/>
      <c r="N99" s="135"/>
      <c r="O99" s="186"/>
    </row>
    <row r="100" spans="8:8">
      <c r="H100" s="1" t="s">
        <v>142</v>
      </c>
    </row>
    <row r="101" spans="9:16">
      <c r="I101" s="135" t="s">
        <v>143</v>
      </c>
      <c r="J101" s="135"/>
      <c r="K101" s="187">
        <f>((O101*$H$15)/1000000)/8</f>
        <v>387020</v>
      </c>
      <c r="L101" s="1" t="s">
        <v>91</v>
      </c>
      <c r="M101" s="135" t="s">
        <v>144</v>
      </c>
      <c r="N101" s="135"/>
      <c r="O101" s="187">
        <f>(($H$5)-($N$13))*1000-(O97*1000)-K78-K83</f>
        <v>48377.5</v>
      </c>
      <c r="P101" s="1" t="s">
        <v>21</v>
      </c>
    </row>
    <row r="102" spans="9:16">
      <c r="I102" s="135" t="s">
        <v>145</v>
      </c>
      <c r="J102" s="135"/>
      <c r="K102" s="187">
        <f>(((O102*$H$16)/1000000)/8)*2</f>
        <v>774060</v>
      </c>
      <c r="L102" s="1" t="s">
        <v>91</v>
      </c>
      <c r="M102" s="135" t="s">
        <v>146</v>
      </c>
      <c r="N102" s="135"/>
      <c r="O102" s="187">
        <f>(($H$5)-($N$13))*1000-(O97*1000)-K79-K84</f>
        <v>48378.75</v>
      </c>
      <c r="P102" s="1" t="s">
        <v>21</v>
      </c>
    </row>
    <row r="103" spans="9:16">
      <c r="I103" s="135" t="s">
        <v>147</v>
      </c>
      <c r="J103" s="135"/>
      <c r="K103" s="187">
        <f>(((O103*$H$17)/1000000)/8)*4</f>
        <v>1548140</v>
      </c>
      <c r="L103" s="1" t="s">
        <v>91</v>
      </c>
      <c r="M103" s="135" t="s">
        <v>148</v>
      </c>
      <c r="N103" s="135"/>
      <c r="O103" s="187">
        <f>(($H$5)-($N$13))*1000-(O97*1000)-K80-K85</f>
        <v>48379.375</v>
      </c>
      <c r="P103" s="1" t="s">
        <v>21</v>
      </c>
    </row>
    <row r="104" spans="9:16">
      <c r="I104" s="135" t="s">
        <v>149</v>
      </c>
      <c r="J104" s="135"/>
      <c r="K104" s="187">
        <f>K101-(N46*O104)</f>
        <v>0</v>
      </c>
      <c r="L104" s="1" t="s">
        <v>91</v>
      </c>
      <c r="M104" s="135" t="s">
        <v>150</v>
      </c>
      <c r="N104" s="135"/>
      <c r="O104" s="187">
        <f>K101/N46</f>
        <v>100.524675324675</v>
      </c>
      <c r="P104" s="1" t="s">
        <v>94</v>
      </c>
    </row>
    <row r="105" spans="9:16">
      <c r="I105" s="135" t="s">
        <v>151</v>
      </c>
      <c r="J105" s="135"/>
      <c r="K105" s="187">
        <f>K102-(N46*O105)</f>
        <v>0</v>
      </c>
      <c r="L105" s="1" t="s">
        <v>91</v>
      </c>
      <c r="M105" s="135" t="s">
        <v>152</v>
      </c>
      <c r="N105" s="135"/>
      <c r="O105" s="187">
        <f>K102/N46</f>
        <v>201.054545454545</v>
      </c>
      <c r="P105" s="1" t="s">
        <v>94</v>
      </c>
    </row>
    <row r="106" spans="9:16">
      <c r="I106" s="135" t="s">
        <v>153</v>
      </c>
      <c r="J106" s="135"/>
      <c r="K106" s="187">
        <f>K103-(N46*O106)</f>
        <v>0</v>
      </c>
      <c r="L106" s="1" t="s">
        <v>91</v>
      </c>
      <c r="M106" s="135" t="s">
        <v>154</v>
      </c>
      <c r="N106" s="135"/>
      <c r="O106" s="187">
        <f>K103/N46</f>
        <v>402.114285714286</v>
      </c>
      <c r="P106" s="1" t="s">
        <v>94</v>
      </c>
    </row>
    <row r="107" spans="9:12">
      <c r="I107" s="135" t="s">
        <v>155</v>
      </c>
      <c r="J107" s="135"/>
      <c r="K107" s="187">
        <f>(J45*O104)+K104</f>
        <v>386014.753246753</v>
      </c>
      <c r="L107" s="1" t="s">
        <v>91</v>
      </c>
    </row>
    <row r="108" spans="9:12">
      <c r="I108" s="135" t="s">
        <v>156</v>
      </c>
      <c r="J108" s="135"/>
      <c r="K108" s="187">
        <f>(J45*O105)+K105</f>
        <v>772049.454545455</v>
      </c>
      <c r="L108" s="1" t="s">
        <v>91</v>
      </c>
    </row>
    <row r="109" spans="9:12">
      <c r="I109" s="135" t="s">
        <v>157</v>
      </c>
      <c r="J109" s="135"/>
      <c r="K109" s="187">
        <f>(J45*O106)+K106</f>
        <v>1544118.85714286</v>
      </c>
      <c r="L109" s="1" t="s">
        <v>91</v>
      </c>
    </row>
    <row r="110" spans="8:8">
      <c r="H110" s="1" t="s">
        <v>158</v>
      </c>
    </row>
    <row r="111" spans="9:12">
      <c r="I111" s="188" t="s">
        <v>159</v>
      </c>
      <c r="J111" s="188"/>
      <c r="K111" s="187">
        <f>K107/12</f>
        <v>32167.8961038961</v>
      </c>
      <c r="L111" s="1" t="s">
        <v>94</v>
      </c>
    </row>
    <row r="112" spans="9:12">
      <c r="I112" s="188" t="s">
        <v>160</v>
      </c>
      <c r="J112" s="188"/>
      <c r="K112" s="187">
        <f t="shared" ref="K112:K113" si="0">K108/12</f>
        <v>64337.4545454546</v>
      </c>
      <c r="L112" s="1" t="s">
        <v>94</v>
      </c>
    </row>
    <row r="113" spans="9:12">
      <c r="I113" s="188" t="s">
        <v>161</v>
      </c>
      <c r="J113" s="188"/>
      <c r="K113" s="187">
        <f t="shared" si="0"/>
        <v>128676.571428571</v>
      </c>
      <c r="L113" s="1" t="s">
        <v>94</v>
      </c>
    </row>
    <row r="114" spans="7:7">
      <c r="G114" s="1" t="s">
        <v>162</v>
      </c>
    </row>
    <row r="115" spans="8:8">
      <c r="H115" s="1" t="s">
        <v>163</v>
      </c>
    </row>
    <row r="116" spans="8:8">
      <c r="H116" s="1" t="s">
        <v>164</v>
      </c>
    </row>
    <row r="117" spans="9:16">
      <c r="I117" s="135" t="s">
        <v>115</v>
      </c>
      <c r="J117" s="135"/>
      <c r="K117" s="181">
        <f>N46</f>
        <v>3850</v>
      </c>
      <c r="L117" s="1" t="s">
        <v>91</v>
      </c>
      <c r="M117" s="135" t="s">
        <v>117</v>
      </c>
      <c r="N117" s="135"/>
      <c r="O117" s="177">
        <f>K117*10</f>
        <v>38500</v>
      </c>
      <c r="P117" s="1" t="s">
        <v>111</v>
      </c>
    </row>
    <row r="118" spans="9:12">
      <c r="I118" s="135" t="s">
        <v>165</v>
      </c>
      <c r="J118" s="135"/>
      <c r="K118" s="179">
        <f>(O117/$H$14)*1000</f>
        <v>19.25</v>
      </c>
      <c r="L118" s="1" t="s">
        <v>18</v>
      </c>
    </row>
    <row r="119" spans="8:8">
      <c r="H119" s="1" t="s">
        <v>166</v>
      </c>
    </row>
    <row r="120" spans="9:16">
      <c r="I120" s="135" t="s">
        <v>115</v>
      </c>
      <c r="J120" s="135"/>
      <c r="K120" s="181">
        <f>N47</f>
        <v>3098</v>
      </c>
      <c r="L120" s="1" t="s">
        <v>91</v>
      </c>
      <c r="M120" s="135" t="s">
        <v>117</v>
      </c>
      <c r="N120" s="135"/>
      <c r="O120" s="177">
        <f>K120*10</f>
        <v>30980</v>
      </c>
      <c r="P120" s="1" t="s">
        <v>111</v>
      </c>
    </row>
    <row r="121" spans="9:12">
      <c r="I121" s="135" t="s">
        <v>135</v>
      </c>
      <c r="J121" s="135"/>
      <c r="K121" s="179">
        <f>(O120/$H$14)*1000</f>
        <v>15.49</v>
      </c>
      <c r="L121" s="1" t="s">
        <v>18</v>
      </c>
    </row>
    <row r="122" spans="8:8">
      <c r="H122" s="1" t="s">
        <v>167</v>
      </c>
    </row>
    <row r="123" spans="9:16">
      <c r="I123" s="135" t="s">
        <v>135</v>
      </c>
      <c r="J123" s="135"/>
      <c r="K123" s="180">
        <f>(K118*J46)+K121</f>
        <v>15.49</v>
      </c>
      <c r="L123" s="1" t="s">
        <v>18</v>
      </c>
      <c r="M123" s="135" t="s">
        <v>121</v>
      </c>
      <c r="N123" s="135"/>
      <c r="O123" s="177">
        <v>0</v>
      </c>
      <c r="P123" s="1" t="s">
        <v>18</v>
      </c>
    </row>
    <row r="124" spans="8:8">
      <c r="H124" s="1" t="s">
        <v>168</v>
      </c>
    </row>
    <row r="125" spans="9:16">
      <c r="I125" s="135" t="s">
        <v>169</v>
      </c>
      <c r="J125" s="135"/>
      <c r="K125" s="177">
        <f>(($H$5-$N$13)-(K118*O125))</f>
        <v>10.5</v>
      </c>
      <c r="L125" s="1" t="s">
        <v>18</v>
      </c>
      <c r="M125" s="135" t="s">
        <v>170</v>
      </c>
      <c r="N125" s="135"/>
      <c r="O125" s="177">
        <f>INT(($H$5-$N$13)/K118)</f>
        <v>2</v>
      </c>
      <c r="P125" s="1" t="s">
        <v>94</v>
      </c>
    </row>
    <row r="126" spans="9:16">
      <c r="I126" s="135" t="s">
        <v>171</v>
      </c>
      <c r="J126" s="135"/>
      <c r="K126" s="177">
        <f>(J45*O125)+O126</f>
        <v>9770</v>
      </c>
      <c r="L126" s="1" t="s">
        <v>91</v>
      </c>
      <c r="M126" s="135" t="s">
        <v>172</v>
      </c>
      <c r="N126" s="135"/>
      <c r="O126" s="177">
        <f>((K125*$H$14)/1000)/10-N45</f>
        <v>2090</v>
      </c>
      <c r="P126" s="1" t="s">
        <v>91</v>
      </c>
    </row>
    <row r="127" spans="8:8">
      <c r="H127" s="1" t="s">
        <v>173</v>
      </c>
    </row>
    <row r="128" spans="9:12">
      <c r="I128" s="135" t="s">
        <v>14</v>
      </c>
      <c r="J128" s="135"/>
      <c r="K128" s="189">
        <f>K126/12</f>
        <v>814.166666666667</v>
      </c>
      <c r="L128" s="1" t="s">
        <v>94</v>
      </c>
    </row>
  </sheetData>
  <mergeCells count="192">
    <mergeCell ref="E4:Q4"/>
    <mergeCell ref="F5:G5"/>
    <mergeCell ref="L5:M5"/>
    <mergeCell ref="F6:G6"/>
    <mergeCell ref="L6:M6"/>
    <mergeCell ref="F7:G7"/>
    <mergeCell ref="L7:M7"/>
    <mergeCell ref="F8:G8"/>
    <mergeCell ref="L8:M8"/>
    <mergeCell ref="F9:G9"/>
    <mergeCell ref="F10:G10"/>
    <mergeCell ref="L10:M10"/>
    <mergeCell ref="F11:G11"/>
    <mergeCell ref="L11:M11"/>
    <mergeCell ref="F12:G12"/>
    <mergeCell ref="L12:M12"/>
    <mergeCell ref="L13:M13"/>
    <mergeCell ref="F14:G14"/>
    <mergeCell ref="L14:M14"/>
    <mergeCell ref="F15:G15"/>
    <mergeCell ref="L15:M15"/>
    <mergeCell ref="F16:G16"/>
    <mergeCell ref="F17:G17"/>
    <mergeCell ref="L17:M17"/>
    <mergeCell ref="P17:T17"/>
    <mergeCell ref="F18:G18"/>
    <mergeCell ref="L18:M18"/>
    <mergeCell ref="P18:Q18"/>
    <mergeCell ref="E20:Q20"/>
    <mergeCell ref="G21:J21"/>
    <mergeCell ref="K21:N21"/>
    <mergeCell ref="O21:T21"/>
    <mergeCell ref="G22:H22"/>
    <mergeCell ref="I22:J22"/>
    <mergeCell ref="K22:L22"/>
    <mergeCell ref="M22:N22"/>
    <mergeCell ref="O22:P22"/>
    <mergeCell ref="Q22:R22"/>
    <mergeCell ref="S22:T22"/>
    <mergeCell ref="E23:F23"/>
    <mergeCell ref="G23:H23"/>
    <mergeCell ref="I23:J23"/>
    <mergeCell ref="K23:L23"/>
    <mergeCell ref="M23:N23"/>
    <mergeCell ref="O23:P23"/>
    <mergeCell ref="Q23:R23"/>
    <mergeCell ref="S23:T23"/>
    <mergeCell ref="E24:F24"/>
    <mergeCell ref="G24:H24"/>
    <mergeCell ref="I24:J24"/>
    <mergeCell ref="K24:L24"/>
    <mergeCell ref="M24:N24"/>
    <mergeCell ref="O24:P24"/>
    <mergeCell ref="Q24:R24"/>
    <mergeCell ref="S24:T24"/>
    <mergeCell ref="E25:F25"/>
    <mergeCell ref="G25:H25"/>
    <mergeCell ref="I25:J25"/>
    <mergeCell ref="K25:L25"/>
    <mergeCell ref="M25:N25"/>
    <mergeCell ref="O25:P25"/>
    <mergeCell ref="Q25:R25"/>
    <mergeCell ref="S25:T25"/>
    <mergeCell ref="E26:F26"/>
    <mergeCell ref="G26:H26"/>
    <mergeCell ref="I26:J26"/>
    <mergeCell ref="K26:L26"/>
    <mergeCell ref="M26:N26"/>
    <mergeCell ref="O26:P26"/>
    <mergeCell ref="Q26:R26"/>
    <mergeCell ref="S26:T26"/>
    <mergeCell ref="E27:F27"/>
    <mergeCell ref="G27:H27"/>
    <mergeCell ref="I27:J27"/>
    <mergeCell ref="K27:L27"/>
    <mergeCell ref="M27:N27"/>
    <mergeCell ref="O27:P27"/>
    <mergeCell ref="Q27:R27"/>
    <mergeCell ref="S27:T27"/>
    <mergeCell ref="E29:Q29"/>
    <mergeCell ref="H32:I32"/>
    <mergeCell ref="L32:M32"/>
    <mergeCell ref="P32:Q32"/>
    <mergeCell ref="H33:I33"/>
    <mergeCell ref="L33:M33"/>
    <mergeCell ref="H34:I34"/>
    <mergeCell ref="H36:I36"/>
    <mergeCell ref="L36:M36"/>
    <mergeCell ref="H37:I37"/>
    <mergeCell ref="L37:M37"/>
    <mergeCell ref="H40:I40"/>
    <mergeCell ref="H41:I41"/>
    <mergeCell ref="H42:I42"/>
    <mergeCell ref="L42:M42"/>
    <mergeCell ref="O42:P42"/>
    <mergeCell ref="H43:I43"/>
    <mergeCell ref="L43:Q43"/>
    <mergeCell ref="H45:I45"/>
    <mergeCell ref="L45:M45"/>
    <mergeCell ref="H46:I46"/>
    <mergeCell ref="L46:M46"/>
    <mergeCell ref="H47:I47"/>
    <mergeCell ref="L47:M47"/>
    <mergeCell ref="H51:I51"/>
    <mergeCell ref="L51:M51"/>
    <mergeCell ref="P51:Q51"/>
    <mergeCell ref="I53:J53"/>
    <mergeCell ref="I54:J54"/>
    <mergeCell ref="M54:N54"/>
    <mergeCell ref="I56:J56"/>
    <mergeCell ref="I57:J57"/>
    <mergeCell ref="M57:N57"/>
    <mergeCell ref="I59:J59"/>
    <mergeCell ref="I60:J60"/>
    <mergeCell ref="M60:N60"/>
    <mergeCell ref="I61:J61"/>
    <mergeCell ref="M61:N61"/>
    <mergeCell ref="I63:J63"/>
    <mergeCell ref="I64:J64"/>
    <mergeCell ref="M64:N64"/>
    <mergeCell ref="I65:J65"/>
    <mergeCell ref="M65:N65"/>
    <mergeCell ref="I67:J67"/>
    <mergeCell ref="M67:N67"/>
    <mergeCell ref="I69:J69"/>
    <mergeCell ref="M69:N69"/>
    <mergeCell ref="I70:J70"/>
    <mergeCell ref="M70:N70"/>
    <mergeCell ref="I71:J71"/>
    <mergeCell ref="M71:N71"/>
    <mergeCell ref="I77:J77"/>
    <mergeCell ref="M77:N77"/>
    <mergeCell ref="I78:J78"/>
    <mergeCell ref="I79:J79"/>
    <mergeCell ref="I80:J80"/>
    <mergeCell ref="I82:J82"/>
    <mergeCell ref="M82:N82"/>
    <mergeCell ref="I83:J83"/>
    <mergeCell ref="I84:J84"/>
    <mergeCell ref="I85:J85"/>
    <mergeCell ref="I87:J87"/>
    <mergeCell ref="M87:N87"/>
    <mergeCell ref="I88:J88"/>
    <mergeCell ref="I89:J89"/>
    <mergeCell ref="I90:J90"/>
    <mergeCell ref="I92:J92"/>
    <mergeCell ref="M92:N92"/>
    <mergeCell ref="I93:J93"/>
    <mergeCell ref="I94:J94"/>
    <mergeCell ref="I95:J95"/>
    <mergeCell ref="I97:J97"/>
    <mergeCell ref="M97:N97"/>
    <mergeCell ref="I98:J98"/>
    <mergeCell ref="I99:J99"/>
    <mergeCell ref="I101:J101"/>
    <mergeCell ref="M101:N101"/>
    <mergeCell ref="I102:J102"/>
    <mergeCell ref="M102:N102"/>
    <mergeCell ref="I103:J103"/>
    <mergeCell ref="M103:N103"/>
    <mergeCell ref="I104:J104"/>
    <mergeCell ref="M104:N104"/>
    <mergeCell ref="I105:J105"/>
    <mergeCell ref="M105:N105"/>
    <mergeCell ref="I106:J106"/>
    <mergeCell ref="M106:N106"/>
    <mergeCell ref="I107:J107"/>
    <mergeCell ref="I108:J108"/>
    <mergeCell ref="I109:J109"/>
    <mergeCell ref="I111:J111"/>
    <mergeCell ref="I112:J112"/>
    <mergeCell ref="I113:J113"/>
    <mergeCell ref="I117:J117"/>
    <mergeCell ref="M117:N117"/>
    <mergeCell ref="I118:J118"/>
    <mergeCell ref="I120:J120"/>
    <mergeCell ref="M120:N120"/>
    <mergeCell ref="I121:J121"/>
    <mergeCell ref="I123:J123"/>
    <mergeCell ref="M123:N123"/>
    <mergeCell ref="I125:J125"/>
    <mergeCell ref="M125:N125"/>
    <mergeCell ref="I126:J126"/>
    <mergeCell ref="M126:N126"/>
    <mergeCell ref="I128:J128"/>
    <mergeCell ref="E5:E12"/>
    <mergeCell ref="E14:E18"/>
    <mergeCell ref="K5:K8"/>
    <mergeCell ref="K10:K15"/>
    <mergeCell ref="K17:K18"/>
    <mergeCell ref="D2:V3"/>
    <mergeCell ref="E21:F22"/>
  </mergeCells>
  <dataValidations count="2">
    <dataValidation type="list" allowBlank="1" showInputMessage="1" showErrorMessage="1" sqref="H11">
      <formula1>"1T1R,1T3R,2T4R"</formula1>
    </dataValidation>
    <dataValidation type="list" allowBlank="1" showInputMessage="1" showErrorMessage="1" sqref="H12">
      <formula1>"1DFFT,2DFFT"</formula1>
    </dataValidation>
  </dataValidations>
  <pageMargins left="0.7" right="0.7" top="0.75" bottom="0.75" header="0.3" footer="0.3"/>
  <pageSetup paperSize="9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V88"/>
  <sheetViews>
    <sheetView showGridLines="0" zoomScale="115" zoomScaleNormal="115" workbookViewId="0">
      <selection activeCell="W28" sqref="W28"/>
    </sheetView>
  </sheetViews>
  <sheetFormatPr defaultColWidth="9" defaultRowHeight="15"/>
  <cols>
    <col min="1" max="3" width="2.625" style="1" customWidth="1"/>
    <col min="4" max="7" width="9" style="1"/>
    <col min="8" max="8" width="9.5" style="1" customWidth="1"/>
    <col min="9" max="9" width="9" style="1"/>
    <col min="10" max="10" width="12.625" style="1"/>
    <col min="11" max="11" width="9" style="1" customWidth="1"/>
    <col min="12" max="12" width="9" style="1"/>
    <col min="13" max="13" width="9.375" style="1"/>
    <col min="14" max="14" width="9.5" style="1" customWidth="1"/>
    <col min="15" max="15" width="12.75" style="1" customWidth="1"/>
    <col min="16" max="16" width="9" style="1"/>
    <col min="17" max="17" width="10.375" style="1"/>
    <col min="18" max="19" width="12.625" style="1"/>
    <col min="20" max="22" width="9" style="1"/>
    <col min="23" max="25" width="2.625" style="1" customWidth="1"/>
    <col min="26" max="16384" width="9" style="1"/>
  </cols>
  <sheetData>
    <row r="2" ht="14.25" customHeight="1" spans="4:22">
      <c r="D2" s="2" t="s">
        <v>174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4.25" customHeight="1" spans="4:22"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9.5" spans="5:17">
      <c r="E4" s="96" t="s">
        <v>15</v>
      </c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</row>
    <row r="5" spans="5:19">
      <c r="E5" s="97" t="s">
        <v>16</v>
      </c>
      <c r="F5" s="98" t="s">
        <v>17</v>
      </c>
      <c r="G5" s="99"/>
      <c r="H5" s="100">
        <v>20</v>
      </c>
      <c r="I5" s="54" t="s">
        <v>18</v>
      </c>
      <c r="K5" s="97" t="s">
        <v>19</v>
      </c>
      <c r="L5" s="112" t="s">
        <v>20</v>
      </c>
      <c r="M5" s="112"/>
      <c r="N5" s="100">
        <v>70</v>
      </c>
      <c r="O5" s="54" t="s">
        <v>21</v>
      </c>
      <c r="Q5" s="182"/>
      <c r="R5" s="182"/>
      <c r="S5" s="182"/>
    </row>
    <row r="6" spans="4:15">
      <c r="D6" s="101" t="s">
        <v>22</v>
      </c>
      <c r="E6" s="102"/>
      <c r="F6" s="38" t="s">
        <v>23</v>
      </c>
      <c r="G6" s="66"/>
      <c r="H6" s="103">
        <v>58</v>
      </c>
      <c r="I6" s="65" t="s">
        <v>24</v>
      </c>
      <c r="K6" s="102"/>
      <c r="L6" s="36" t="s">
        <v>25</v>
      </c>
      <c r="M6" s="36"/>
      <c r="N6" s="103">
        <v>550</v>
      </c>
      <c r="O6" s="65" t="s">
        <v>21</v>
      </c>
    </row>
    <row r="7" spans="4:15">
      <c r="D7" s="104" t="s">
        <v>26</v>
      </c>
      <c r="E7" s="102"/>
      <c r="F7" s="38" t="s">
        <v>27</v>
      </c>
      <c r="G7" s="66"/>
      <c r="H7" s="103">
        <v>0.165</v>
      </c>
      <c r="I7" s="65" t="s">
        <v>28</v>
      </c>
      <c r="K7" s="102"/>
      <c r="L7" s="36" t="s">
        <v>29</v>
      </c>
      <c r="M7" s="36"/>
      <c r="N7" s="103">
        <v>41</v>
      </c>
      <c r="O7" s="65" t="s">
        <v>21</v>
      </c>
    </row>
    <row r="8" ht="15.75" spans="4:15">
      <c r="D8" s="105" t="s">
        <v>30</v>
      </c>
      <c r="E8" s="102"/>
      <c r="F8" s="38" t="s">
        <v>31</v>
      </c>
      <c r="G8" s="66"/>
      <c r="H8" s="103">
        <v>0.04</v>
      </c>
      <c r="I8" s="65" t="s">
        <v>32</v>
      </c>
      <c r="K8" s="102"/>
      <c r="L8" s="199" t="s">
        <v>33</v>
      </c>
      <c r="M8" s="199"/>
      <c r="N8" s="200">
        <v>106</v>
      </c>
      <c r="O8" s="201" t="s">
        <v>21</v>
      </c>
    </row>
    <row r="9" spans="5:15">
      <c r="E9" s="102"/>
      <c r="F9" s="38" t="s">
        <v>34</v>
      </c>
      <c r="G9" s="66"/>
      <c r="H9" s="103">
        <v>0.66</v>
      </c>
      <c r="I9" s="65" t="s">
        <v>28</v>
      </c>
      <c r="K9" s="190" t="s">
        <v>36</v>
      </c>
      <c r="L9" s="142" t="s">
        <v>43</v>
      </c>
      <c r="M9" s="142"/>
      <c r="N9" s="100">
        <v>0</v>
      </c>
      <c r="O9" s="54" t="s">
        <v>18</v>
      </c>
    </row>
    <row r="10" spans="5:15">
      <c r="E10" s="102"/>
      <c r="F10" s="38" t="s">
        <v>35</v>
      </c>
      <c r="G10" s="66"/>
      <c r="H10" s="103">
        <v>10.24</v>
      </c>
      <c r="I10" s="65" t="s">
        <v>32</v>
      </c>
      <c r="K10" s="202"/>
      <c r="L10" s="14" t="s">
        <v>44</v>
      </c>
      <c r="M10" s="14"/>
      <c r="N10" s="103">
        <v>1</v>
      </c>
      <c r="O10" s="65"/>
    </row>
    <row r="11" spans="5:15">
      <c r="E11" s="102"/>
      <c r="F11" s="38" t="s">
        <v>38</v>
      </c>
      <c r="G11" s="66"/>
      <c r="H11" s="106" t="s">
        <v>39</v>
      </c>
      <c r="I11" s="65"/>
      <c r="K11" s="202"/>
      <c r="L11" s="14" t="s">
        <v>48</v>
      </c>
      <c r="M11" s="14"/>
      <c r="N11" s="103">
        <v>2</v>
      </c>
      <c r="O11" s="65"/>
    </row>
    <row r="12" ht="15.75" spans="5:16">
      <c r="E12" s="107"/>
      <c r="F12" s="46" t="s">
        <v>41</v>
      </c>
      <c r="G12" s="78"/>
      <c r="H12" s="108" t="s">
        <v>42</v>
      </c>
      <c r="I12" s="139"/>
      <c r="K12" s="192"/>
      <c r="L12" s="203" t="s">
        <v>51</v>
      </c>
      <c r="M12" s="203"/>
      <c r="N12" s="114">
        <v>80</v>
      </c>
      <c r="O12" s="139" t="s">
        <v>52</v>
      </c>
      <c r="P12" s="204" t="s">
        <v>53</v>
      </c>
    </row>
    <row r="13" ht="15.75" spans="5:16">
      <c r="E13" s="109"/>
      <c r="F13" s="7"/>
      <c r="G13" s="110"/>
      <c r="H13" s="111"/>
      <c r="I13" s="22"/>
      <c r="P13" s="115"/>
    </row>
    <row r="14" spans="5:22">
      <c r="E14" s="97" t="s">
        <v>45</v>
      </c>
      <c r="F14" s="112" t="s">
        <v>46</v>
      </c>
      <c r="G14" s="112"/>
      <c r="H14" s="100">
        <v>2000000</v>
      </c>
      <c r="I14" s="54" t="s">
        <v>47</v>
      </c>
      <c r="K14" s="205" t="s">
        <v>56</v>
      </c>
      <c r="L14" s="206" t="s">
        <v>78</v>
      </c>
      <c r="M14" s="206"/>
      <c r="N14" s="207">
        <f>J33</f>
        <v>256</v>
      </c>
      <c r="O14" s="208"/>
      <c r="P14" s="209"/>
      <c r="Q14" s="209"/>
      <c r="R14" s="209"/>
      <c r="S14" s="209"/>
      <c r="T14" s="22"/>
      <c r="U14" s="22"/>
      <c r="V14" s="22"/>
    </row>
    <row r="15" spans="5:22">
      <c r="E15" s="102"/>
      <c r="F15" s="36" t="s">
        <v>49</v>
      </c>
      <c r="G15" s="36"/>
      <c r="H15" s="103">
        <v>64000000</v>
      </c>
      <c r="I15" s="65" t="s">
        <v>50</v>
      </c>
      <c r="K15" s="210"/>
      <c r="L15" s="61" t="s">
        <v>175</v>
      </c>
      <c r="M15" s="61"/>
      <c r="N15" s="211">
        <f>N33</f>
        <v>8</v>
      </c>
      <c r="O15" s="212"/>
      <c r="P15" s="209"/>
      <c r="Q15" s="209"/>
      <c r="R15" s="209"/>
      <c r="S15" s="209"/>
      <c r="T15" s="22"/>
      <c r="U15" s="22"/>
      <c r="V15" s="22"/>
    </row>
    <row r="16" spans="5:22">
      <c r="E16" s="102"/>
      <c r="F16" s="36" t="s">
        <v>54</v>
      </c>
      <c r="G16" s="36"/>
      <c r="H16" s="103">
        <v>64000000</v>
      </c>
      <c r="I16" s="65" t="s">
        <v>50</v>
      </c>
      <c r="K16" s="210"/>
      <c r="L16" s="61" t="s">
        <v>176</v>
      </c>
      <c r="M16" s="61"/>
      <c r="N16" s="211">
        <f>R33</f>
        <v>64</v>
      </c>
      <c r="O16" s="212" t="s">
        <v>177</v>
      </c>
      <c r="P16" s="209"/>
      <c r="Q16" s="209"/>
      <c r="R16" s="209"/>
      <c r="S16" s="209"/>
      <c r="T16" s="184"/>
      <c r="U16" s="22"/>
      <c r="V16" s="22"/>
    </row>
    <row r="17" ht="15.75" spans="5:22">
      <c r="E17" s="102"/>
      <c r="F17" s="36" t="s">
        <v>55</v>
      </c>
      <c r="G17" s="36"/>
      <c r="H17" s="103">
        <v>64000000</v>
      </c>
      <c r="I17" s="65" t="s">
        <v>50</v>
      </c>
      <c r="K17" s="213"/>
      <c r="L17" s="214" t="s">
        <v>57</v>
      </c>
      <c r="M17" s="214"/>
      <c r="N17" s="215">
        <f ca="1">J34</f>
        <v>13.8</v>
      </c>
      <c r="O17" s="216" t="s">
        <v>18</v>
      </c>
      <c r="P17" s="209"/>
      <c r="Q17" s="209"/>
      <c r="R17" s="209"/>
      <c r="S17" s="209"/>
      <c r="T17" s="22"/>
      <c r="U17" s="22"/>
      <c r="V17" s="22"/>
    </row>
    <row r="18" ht="15.75" spans="5:22">
      <c r="E18" s="107"/>
      <c r="F18" s="113" t="s">
        <v>58</v>
      </c>
      <c r="G18" s="113"/>
      <c r="H18" s="114">
        <v>100000</v>
      </c>
      <c r="I18" s="139" t="s">
        <v>50</v>
      </c>
      <c r="K18" s="111"/>
      <c r="L18" s="111"/>
      <c r="M18" s="111"/>
      <c r="N18" s="111"/>
      <c r="O18" s="111"/>
      <c r="P18" s="111"/>
      <c r="Q18" s="111"/>
      <c r="R18" s="111"/>
      <c r="S18" s="111"/>
      <c r="T18" s="22"/>
      <c r="U18" s="22"/>
      <c r="V18" s="22"/>
    </row>
    <row r="19" spans="6:22">
      <c r="F19" s="115"/>
      <c r="P19" s="22"/>
      <c r="Q19" s="184"/>
      <c r="R19" s="184"/>
      <c r="S19" s="184"/>
      <c r="T19" s="184"/>
      <c r="U19" s="22"/>
      <c r="V19" s="22"/>
    </row>
    <row r="20" ht="19.5" spans="5:22">
      <c r="E20" s="96" t="s">
        <v>60</v>
      </c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22"/>
      <c r="S20" s="22"/>
      <c r="T20" s="22"/>
      <c r="U20" s="22"/>
      <c r="V20" s="22"/>
    </row>
    <row r="21" ht="14.25" customHeight="1" spans="5:22">
      <c r="E21" s="190" t="s">
        <v>61</v>
      </c>
      <c r="F21" s="191"/>
      <c r="G21" s="118" t="s">
        <v>62</v>
      </c>
      <c r="H21" s="119"/>
      <c r="I21" s="119"/>
      <c r="J21" s="153"/>
      <c r="K21" s="217" t="s">
        <v>63</v>
      </c>
      <c r="L21" s="119"/>
      <c r="M21" s="119"/>
      <c r="N21" s="218"/>
      <c r="O21" s="190" t="s">
        <v>64</v>
      </c>
      <c r="P21" s="219"/>
      <c r="Q21" s="219"/>
      <c r="R21" s="219"/>
      <c r="S21" s="219"/>
      <c r="T21" s="242"/>
      <c r="U21" s="22"/>
      <c r="V21" s="22"/>
    </row>
    <row r="22" customHeight="1" spans="5:22">
      <c r="E22" s="192"/>
      <c r="F22" s="193"/>
      <c r="G22" s="194" t="s">
        <v>65</v>
      </c>
      <c r="H22" s="195"/>
      <c r="I22" s="195" t="s">
        <v>66</v>
      </c>
      <c r="J22" s="220"/>
      <c r="K22" s="221" t="s">
        <v>67</v>
      </c>
      <c r="L22" s="222"/>
      <c r="M22" s="222" t="s">
        <v>178</v>
      </c>
      <c r="N22" s="223"/>
      <c r="O22" s="224" t="s">
        <v>69</v>
      </c>
      <c r="P22" s="225"/>
      <c r="Q22" s="243" t="s">
        <v>70</v>
      </c>
      <c r="R22" s="243"/>
      <c r="S22" s="243" t="s">
        <v>71</v>
      </c>
      <c r="T22" s="244"/>
      <c r="U22" s="22"/>
      <c r="V22" s="22"/>
    </row>
    <row r="23" spans="5:20">
      <c r="E23" s="196" t="s">
        <v>46</v>
      </c>
      <c r="F23" s="98"/>
      <c r="G23" s="197">
        <f>$K$85</f>
        <v>329.66</v>
      </c>
      <c r="H23" s="198"/>
      <c r="I23" s="226">
        <f ca="1">$H$5-$N$17-G23</f>
        <v>-323.46</v>
      </c>
      <c r="J23" s="227"/>
      <c r="K23" s="228">
        <f ca="1">$K$88</f>
        <v>1230</v>
      </c>
      <c r="L23" s="198"/>
      <c r="M23" s="229">
        <f ca="1">K23/1024</f>
        <v>1.201171875</v>
      </c>
      <c r="N23" s="230"/>
      <c r="O23" s="231">
        <f>$H$5-G23</f>
        <v>-309.66</v>
      </c>
      <c r="P23" s="226"/>
      <c r="Q23" s="226">
        <f>($H$5*$N$10)-G23</f>
        <v>-309.66</v>
      </c>
      <c r="R23" s="226"/>
      <c r="S23" s="226">
        <f>IF($N$11&gt;=2,($H$5-G23)+(G23*$N$12/100),($H$5-G23))</f>
        <v>-45.932</v>
      </c>
      <c r="T23" s="227"/>
    </row>
    <row r="24" spans="5:20">
      <c r="E24" s="127" t="s">
        <v>49</v>
      </c>
      <c r="F24" s="38"/>
      <c r="G24" s="128">
        <f>$K$63</f>
        <v>11.50925</v>
      </c>
      <c r="H24" s="129"/>
      <c r="I24" s="232">
        <f ca="1">$H$5-$N$17-G24</f>
        <v>-5.30925</v>
      </c>
      <c r="J24" s="233"/>
      <c r="K24" s="234">
        <f ca="1">$K$73</f>
        <v>44384</v>
      </c>
      <c r="L24" s="129"/>
      <c r="M24" s="235">
        <f ca="1">K24/1024</f>
        <v>43.34375</v>
      </c>
      <c r="N24" s="236"/>
      <c r="O24" s="237">
        <f>$H$5-G24</f>
        <v>8.49075</v>
      </c>
      <c r="P24" s="232"/>
      <c r="Q24" s="232">
        <f>($H$5*$N$10)-G24</f>
        <v>8.49075</v>
      </c>
      <c r="R24" s="232"/>
      <c r="S24" s="232">
        <f>IF($N$11&gt;=2,($H$5-G24)+(G24*$N$12/100),($H$5-G24))</f>
        <v>17.69815</v>
      </c>
      <c r="T24" s="233"/>
    </row>
    <row r="25" spans="5:20">
      <c r="E25" s="127" t="s">
        <v>54</v>
      </c>
      <c r="F25" s="38"/>
      <c r="G25" s="128">
        <f>$K$64</f>
        <v>7.387625</v>
      </c>
      <c r="H25" s="129"/>
      <c r="I25" s="232">
        <f ca="1">$H$5-$N$17-G25</f>
        <v>-1.187625</v>
      </c>
      <c r="J25" s="233"/>
      <c r="K25" s="234">
        <f ca="1">$K$74</f>
        <v>88760</v>
      </c>
      <c r="L25" s="129"/>
      <c r="M25" s="235">
        <f ca="1">K25/1024</f>
        <v>86.6796875</v>
      </c>
      <c r="N25" s="236"/>
      <c r="O25" s="237">
        <f>$H$5-G25</f>
        <v>12.612375</v>
      </c>
      <c r="P25" s="232"/>
      <c r="Q25" s="232">
        <f>($H$5*$N$10)-G25</f>
        <v>12.612375</v>
      </c>
      <c r="R25" s="232"/>
      <c r="S25" s="232">
        <f>IF($N$11&gt;=2,($H$5-G25)+(G25*$N$12/100),($H$5-G25))</f>
        <v>18.522475</v>
      </c>
      <c r="T25" s="233"/>
    </row>
    <row r="26" spans="5:20">
      <c r="E26" s="127" t="s">
        <v>55</v>
      </c>
      <c r="F26" s="38"/>
      <c r="G26" s="128">
        <f>$K$65</f>
        <v>5.3268125</v>
      </c>
      <c r="H26" s="129"/>
      <c r="I26" s="232">
        <f ca="1">$H$5-$N$17-G26</f>
        <v>0.873187499999999</v>
      </c>
      <c r="J26" s="233"/>
      <c r="K26" s="234">
        <f ca="1">$K$75</f>
        <v>177534</v>
      </c>
      <c r="L26" s="129"/>
      <c r="M26" s="235">
        <f ca="1">K26/1024</f>
        <v>173.373046875</v>
      </c>
      <c r="N26" s="236"/>
      <c r="O26" s="237">
        <f>$H$5-G26</f>
        <v>14.6731875</v>
      </c>
      <c r="P26" s="232"/>
      <c r="Q26" s="232">
        <f>($H$5*$N$10)-G26</f>
        <v>14.6731875</v>
      </c>
      <c r="R26" s="232"/>
      <c r="S26" s="232">
        <f>IF($N$11&gt;=2,($H$5-G26)+(G26*$N$12/100),($H$5-G26))</f>
        <v>18.9346375</v>
      </c>
      <c r="T26" s="233"/>
    </row>
    <row r="27" ht="15.75" spans="5:20">
      <c r="E27" s="130" t="s">
        <v>58</v>
      </c>
      <c r="F27" s="46"/>
      <c r="G27" s="131" t="s">
        <v>179</v>
      </c>
      <c r="H27" s="132"/>
      <c r="I27" s="238" t="s">
        <v>179</v>
      </c>
      <c r="J27" s="239"/>
      <c r="K27" s="240" t="s">
        <v>179</v>
      </c>
      <c r="L27" s="132"/>
      <c r="M27" s="132" t="s">
        <v>179</v>
      </c>
      <c r="N27" s="241"/>
      <c r="O27" s="131" t="s">
        <v>179</v>
      </c>
      <c r="P27" s="132"/>
      <c r="Q27" s="132" t="s">
        <v>179</v>
      </c>
      <c r="R27" s="132"/>
      <c r="S27" s="132" t="s">
        <v>179</v>
      </c>
      <c r="T27" s="171"/>
    </row>
    <row r="28" ht="273" customHeight="1" spans="6:6">
      <c r="F28" s="7"/>
    </row>
    <row r="29" ht="23.25" spans="5:17">
      <c r="E29" s="133" t="s">
        <v>72</v>
      </c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</row>
    <row r="30" spans="6:18">
      <c r="F30" s="1" t="s">
        <v>73</v>
      </c>
      <c r="R30" s="1">
        <f>IF($H$11="2T4R",(2*4*$N$14*$N$15*4)/1024,(IF($H$11="1T3R",(1*3*$N$14*$N$15*4)/1024,0)))</f>
        <v>64</v>
      </c>
    </row>
    <row r="31" spans="7:7">
      <c r="G31" s="1" t="s">
        <v>74</v>
      </c>
    </row>
    <row r="32" spans="8:20">
      <c r="H32" s="134" t="s">
        <v>75</v>
      </c>
      <c r="I32" s="134"/>
      <c r="J32" s="173">
        <f>INT((300000000/($H$6*1000000000+((300000000/(2*$H$8*1000/100))/2)))/(4*$H$9)*1000000)</f>
        <v>1952</v>
      </c>
      <c r="K32" s="174" t="s">
        <v>21</v>
      </c>
      <c r="L32" s="134" t="s">
        <v>76</v>
      </c>
      <c r="M32" s="134"/>
      <c r="N32" s="175">
        <f>ROUNDUP(($J$33/10+10)/1000*$R$32*(IF($H$11="2T4R",2,1)),2)</f>
        <v>0.08</v>
      </c>
      <c r="O32" s="174" t="s">
        <v>18</v>
      </c>
      <c r="P32" s="134" t="s">
        <v>77</v>
      </c>
      <c r="Q32" s="134"/>
      <c r="R32" s="178">
        <v>1</v>
      </c>
      <c r="T32" s="245">
        <v>19.5625</v>
      </c>
    </row>
    <row r="33" spans="8:20">
      <c r="H33" s="134" t="s">
        <v>78</v>
      </c>
      <c r="I33" s="134"/>
      <c r="J33" s="176">
        <f>POWER(2,(LOG(($H$10*1000)/($H$8/1000),2)))/1000000</f>
        <v>256</v>
      </c>
      <c r="L33" s="134" t="s">
        <v>79</v>
      </c>
      <c r="M33" s="134"/>
      <c r="N33" s="176">
        <f>POWER(2,(LOG(2*($H$9*1000)/($H$7/1000),2)))/1000000</f>
        <v>8</v>
      </c>
      <c r="P33" s="134" t="s">
        <v>176</v>
      </c>
      <c r="Q33" s="134"/>
      <c r="R33" s="1">
        <f>IF($H$11="2T4R",(2*4*$N$14*$N$15*4)/1024,(IF($H$11="1T3R",(1*3*$N$14*$N$15*4)/1024,0)))</f>
        <v>64</v>
      </c>
      <c r="S33" s="1" t="s">
        <v>177</v>
      </c>
      <c r="T33" s="245">
        <v>9.95</v>
      </c>
    </row>
    <row r="34" spans="8:20">
      <c r="H34" s="134" t="s">
        <v>80</v>
      </c>
      <c r="I34" s="134"/>
      <c r="J34" s="176">
        <f>ROUNDUP((IF($H$12="2DFFT",(($J$32*($N$33-1))/1000+$N$32),$N$32)),1)</f>
        <v>13.8</v>
      </c>
      <c r="K34" s="174" t="s">
        <v>18</v>
      </c>
      <c r="L34" s="134" t="s">
        <v>180</v>
      </c>
      <c r="M34" s="134"/>
      <c r="N34" s="176">
        <f ca="1">(R34*J33)/1000</f>
        <v>1.3088</v>
      </c>
      <c r="O34" s="1" t="s">
        <v>18</v>
      </c>
      <c r="P34" s="134" t="s">
        <v>181</v>
      </c>
      <c r="Q34" s="134"/>
      <c r="R34" s="176">
        <f ca="1">INDIRECT("T"&amp;(42-LOG(J33,2)))</f>
        <v>5.1125</v>
      </c>
      <c r="S34" s="1" t="s">
        <v>21</v>
      </c>
      <c r="T34" s="245">
        <v>5.1125</v>
      </c>
    </row>
    <row r="35" spans="7:20">
      <c r="G35" s="1" t="s">
        <v>182</v>
      </c>
      <c r="T35" s="245">
        <v>2.7</v>
      </c>
    </row>
    <row r="36" spans="8:20">
      <c r="H36" s="134" t="s">
        <v>183</v>
      </c>
      <c r="I36" s="134"/>
      <c r="J36" s="173">
        <f>ROUNDDOWN(N11/N36,0)</f>
        <v>0</v>
      </c>
      <c r="K36" s="174"/>
      <c r="L36" s="134" t="s">
        <v>184</v>
      </c>
      <c r="M36" s="134"/>
      <c r="N36" s="176">
        <f>ROUNDUP(N16*1024/R36,0)</f>
        <v>18</v>
      </c>
      <c r="O36" s="1" t="s">
        <v>94</v>
      </c>
      <c r="P36" s="134" t="s">
        <v>185</v>
      </c>
      <c r="Q36" s="134"/>
      <c r="R36" s="178">
        <v>3840</v>
      </c>
      <c r="S36" s="1" t="s">
        <v>91</v>
      </c>
      <c r="T36" s="245">
        <v>1.4625</v>
      </c>
    </row>
    <row r="37" spans="6:20">
      <c r="F37" s="1" t="s">
        <v>186</v>
      </c>
      <c r="T37" s="245">
        <v>0.85</v>
      </c>
    </row>
    <row r="38" spans="7:20">
      <c r="G38" s="1" t="s">
        <v>187</v>
      </c>
      <c r="T38" s="245">
        <v>0.5</v>
      </c>
    </row>
    <row r="39" spans="8:20">
      <c r="H39" s="135" t="s">
        <v>188</v>
      </c>
      <c r="I39" s="135"/>
      <c r="J39" s="178">
        <v>12</v>
      </c>
      <c r="K39" s="1" t="s">
        <v>91</v>
      </c>
      <c r="L39" s="135" t="s">
        <v>189</v>
      </c>
      <c r="M39" s="135"/>
      <c r="N39" s="178">
        <v>12</v>
      </c>
      <c r="O39" s="1" t="s">
        <v>91</v>
      </c>
      <c r="T39" s="245">
        <v>0.3125</v>
      </c>
    </row>
    <row r="40" spans="8:20">
      <c r="H40" s="135" t="s">
        <v>100</v>
      </c>
      <c r="I40" s="135"/>
      <c r="J40" s="178">
        <v>3840</v>
      </c>
      <c r="K40" s="1" t="s">
        <v>91</v>
      </c>
      <c r="L40" s="135" t="s">
        <v>101</v>
      </c>
      <c r="M40" s="135"/>
      <c r="N40" s="178">
        <v>10</v>
      </c>
      <c r="O40" s="1" t="s">
        <v>91</v>
      </c>
      <c r="P40" s="1" t="s">
        <v>102</v>
      </c>
      <c r="T40" s="245">
        <v>0.1825</v>
      </c>
    </row>
    <row r="41" spans="8:14">
      <c r="H41" s="135" t="s">
        <v>190</v>
      </c>
      <c r="I41" s="135"/>
      <c r="J41" s="177">
        <f>R33*1024</f>
        <v>65536</v>
      </c>
      <c r="K41" s="1" t="s">
        <v>91</v>
      </c>
      <c r="L41" s="135"/>
      <c r="M41" s="135"/>
      <c r="N41" s="178"/>
    </row>
    <row r="42" spans="8:15">
      <c r="H42" s="135" t="s">
        <v>103</v>
      </c>
      <c r="I42" s="135"/>
      <c r="J42" s="189">
        <f>INT(J41/J40)</f>
        <v>17</v>
      </c>
      <c r="K42" s="1" t="s">
        <v>94</v>
      </c>
      <c r="L42" s="135" t="s">
        <v>104</v>
      </c>
      <c r="M42" s="135"/>
      <c r="N42" s="177">
        <f>J40+N40+J39</f>
        <v>3862</v>
      </c>
      <c r="O42" s="1" t="s">
        <v>91</v>
      </c>
    </row>
    <row r="43" spans="8:15">
      <c r="H43" s="135" t="s">
        <v>105</v>
      </c>
      <c r="I43" s="135"/>
      <c r="J43" s="177">
        <f>J41-(J40*J42)</f>
        <v>255.999999999985</v>
      </c>
      <c r="K43" s="1" t="s">
        <v>94</v>
      </c>
      <c r="L43" s="135" t="s">
        <v>106</v>
      </c>
      <c r="M43" s="135"/>
      <c r="N43" s="177">
        <f>J43+N40+J39</f>
        <v>277.999999999985</v>
      </c>
      <c r="O43" s="1" t="s">
        <v>91</v>
      </c>
    </row>
    <row r="44" spans="6:6">
      <c r="F44" s="1" t="s">
        <v>107</v>
      </c>
    </row>
    <row r="45" spans="7:7">
      <c r="G45" s="1" t="s">
        <v>133</v>
      </c>
    </row>
    <row r="46" spans="8:8">
      <c r="H46" s="1" t="s">
        <v>191</v>
      </c>
    </row>
    <row r="47" spans="8:8">
      <c r="H47" s="1" t="s">
        <v>134</v>
      </c>
    </row>
    <row r="48" spans="9:16">
      <c r="I48" s="135" t="s">
        <v>115</v>
      </c>
      <c r="J48" s="135"/>
      <c r="K48" s="178">
        <v>14</v>
      </c>
      <c r="L48" s="1" t="s">
        <v>91</v>
      </c>
      <c r="M48" s="135" t="s">
        <v>117</v>
      </c>
      <c r="N48" s="135"/>
      <c r="O48" s="177">
        <f>K48*8</f>
        <v>112</v>
      </c>
      <c r="P48" s="1" t="s">
        <v>111</v>
      </c>
    </row>
    <row r="49" spans="9:12">
      <c r="I49" s="135" t="s">
        <v>135</v>
      </c>
      <c r="J49" s="135"/>
      <c r="K49" s="179">
        <f>((O48*(1/$H$15))/1)*1000000</f>
        <v>1.75</v>
      </c>
      <c r="L49" s="1" t="s">
        <v>21</v>
      </c>
    </row>
    <row r="50" spans="9:12">
      <c r="I50" s="135" t="s">
        <v>136</v>
      </c>
      <c r="J50" s="135"/>
      <c r="K50" s="179">
        <f>((O48*(1/$H$16))/2)*1000000</f>
        <v>0.875</v>
      </c>
      <c r="L50" s="1" t="s">
        <v>21</v>
      </c>
    </row>
    <row r="51" spans="9:12">
      <c r="I51" s="135" t="s">
        <v>137</v>
      </c>
      <c r="J51" s="135"/>
      <c r="K51" s="179">
        <f>((O48*(1/$H$17))/4)*1000000</f>
        <v>0.4375</v>
      </c>
      <c r="L51" s="1" t="s">
        <v>21</v>
      </c>
    </row>
    <row r="52" spans="8:8">
      <c r="H52" s="1" t="s">
        <v>139</v>
      </c>
    </row>
    <row r="53" spans="9:16">
      <c r="I53" s="135" t="s">
        <v>115</v>
      </c>
      <c r="J53" s="135"/>
      <c r="K53" s="181">
        <f>N42</f>
        <v>3862</v>
      </c>
      <c r="L53" s="1" t="s">
        <v>91</v>
      </c>
      <c r="M53" s="135" t="s">
        <v>117</v>
      </c>
      <c r="N53" s="135"/>
      <c r="O53" s="177">
        <f>K53*8</f>
        <v>30896</v>
      </c>
      <c r="P53" s="1" t="s">
        <v>111</v>
      </c>
    </row>
    <row r="54" spans="9:13">
      <c r="I54" s="135" t="s">
        <v>135</v>
      </c>
      <c r="J54" s="135"/>
      <c r="K54" s="179">
        <f>((O53*(1/$H$15))/1)*1000000+($N$7+$N$8)</f>
        <v>629.75</v>
      </c>
      <c r="L54" s="1" t="s">
        <v>21</v>
      </c>
      <c r="M54" s="1">
        <f>((O53*(1/$H$15))/1)*1000000</f>
        <v>482.75</v>
      </c>
    </row>
    <row r="55" spans="9:13">
      <c r="I55" s="135" t="s">
        <v>136</v>
      </c>
      <c r="J55" s="135"/>
      <c r="K55" s="179">
        <f>((O53*(1/$H$16))/2)*1000000+($N$7+$N$8)</f>
        <v>388.375</v>
      </c>
      <c r="L55" s="1" t="s">
        <v>21</v>
      </c>
      <c r="M55" s="1">
        <f>((O53*(1/$H$16))/2)*1000000</f>
        <v>241.375</v>
      </c>
    </row>
    <row r="56" spans="9:13">
      <c r="I56" s="135" t="s">
        <v>137</v>
      </c>
      <c r="J56" s="135"/>
      <c r="K56" s="179">
        <f>((O53*(1/$H$17))/4)*1000000+($N$7+$N$8)</f>
        <v>267.6875</v>
      </c>
      <c r="L56" s="1" t="s">
        <v>21</v>
      </c>
      <c r="M56" s="1">
        <f>((O53*(1/$H$17))/4)*1000000</f>
        <v>120.6875</v>
      </c>
    </row>
    <row r="57" spans="8:8">
      <c r="H57" s="1" t="s">
        <v>140</v>
      </c>
    </row>
    <row r="58" spans="9:16">
      <c r="I58" s="135" t="s">
        <v>115</v>
      </c>
      <c r="J58" s="135"/>
      <c r="K58" s="181">
        <f>N43</f>
        <v>277.999999999985</v>
      </c>
      <c r="L58" s="1" t="s">
        <v>91</v>
      </c>
      <c r="M58" s="135" t="s">
        <v>117</v>
      </c>
      <c r="N58" s="135"/>
      <c r="O58" s="177">
        <f>K58*8</f>
        <v>2223.99999999988</v>
      </c>
      <c r="P58" s="1" t="s">
        <v>111</v>
      </c>
    </row>
    <row r="59" spans="9:13">
      <c r="I59" s="135" t="s">
        <v>135</v>
      </c>
      <c r="J59" s="135"/>
      <c r="K59" s="179">
        <f>((O58*(1/$H$15))/1)*1000000+($N$7+$N$8)</f>
        <v>181.749999999998</v>
      </c>
      <c r="L59" s="1" t="s">
        <v>21</v>
      </c>
      <c r="M59" s="1">
        <f>((O58*(1/$H$15))/1)*1000000</f>
        <v>34.7499999999982</v>
      </c>
    </row>
    <row r="60" spans="9:13">
      <c r="I60" s="135" t="s">
        <v>136</v>
      </c>
      <c r="J60" s="135"/>
      <c r="K60" s="179">
        <f>((O58*(1/$H$16))/2)*1000000+($N$7+$N$8)</f>
        <v>164.374999999999</v>
      </c>
      <c r="L60" s="1" t="s">
        <v>21</v>
      </c>
      <c r="M60" s="1">
        <f>((O58*(1/$H$16))/2)*1000000</f>
        <v>17.3749999999991</v>
      </c>
    </row>
    <row r="61" spans="9:13">
      <c r="I61" s="135" t="s">
        <v>137</v>
      </c>
      <c r="J61" s="135"/>
      <c r="K61" s="179">
        <f>((O58*(1/$H$17))/4)*1000000+($N$7+$N$8)</f>
        <v>155.6875</v>
      </c>
      <c r="L61" s="1" t="s">
        <v>21</v>
      </c>
      <c r="M61" s="1">
        <f>((O58*(1/$H$17))/4)*1000000</f>
        <v>8.68749999999955</v>
      </c>
    </row>
    <row r="62" spans="8:8">
      <c r="H62" s="1" t="s">
        <v>141</v>
      </c>
    </row>
    <row r="63" spans="9:17">
      <c r="I63" s="135" t="s">
        <v>135</v>
      </c>
      <c r="J63" s="135"/>
      <c r="K63" s="180">
        <f>(K49+(K54*J42)+K59)/1000+O63</f>
        <v>11.50925</v>
      </c>
      <c r="L63" s="1" t="s">
        <v>18</v>
      </c>
      <c r="M63" s="135" t="s">
        <v>121</v>
      </c>
      <c r="N63" s="135"/>
      <c r="O63" s="177">
        <f>($N$5+$N$6)/1000</f>
        <v>0.62</v>
      </c>
      <c r="P63" s="1" t="s">
        <v>18</v>
      </c>
      <c r="Q63" s="1">
        <f>(M49+(M54*J42)+M59)/1000</f>
        <v>8.2415</v>
      </c>
    </row>
    <row r="64" spans="9:17">
      <c r="I64" s="135" t="s">
        <v>136</v>
      </c>
      <c r="J64" s="135"/>
      <c r="K64" s="180">
        <f>(K50+(K55*J42)+K60)/1000+O63</f>
        <v>7.387625</v>
      </c>
      <c r="L64" s="1" t="s">
        <v>18</v>
      </c>
      <c r="M64" s="135"/>
      <c r="N64" s="135"/>
      <c r="O64" s="186"/>
      <c r="Q64" s="1">
        <f>(K50+(K55*J42)+K60)/1000</f>
        <v>6.767625</v>
      </c>
    </row>
    <row r="65" spans="9:17">
      <c r="I65" s="135" t="s">
        <v>137</v>
      </c>
      <c r="J65" s="135"/>
      <c r="K65" s="180">
        <f>(K51+(K56*J42)+K61)/1000+O63</f>
        <v>5.3268125</v>
      </c>
      <c r="L65" s="1" t="s">
        <v>18</v>
      </c>
      <c r="M65" s="135"/>
      <c r="N65" s="135"/>
      <c r="O65" s="186"/>
      <c r="Q65" s="1">
        <f>(K51+(K56*J42)+K61)/1000</f>
        <v>4.7068125</v>
      </c>
    </row>
    <row r="66" spans="8:8">
      <c r="H66" s="1" t="s">
        <v>142</v>
      </c>
    </row>
    <row r="67" spans="9:16">
      <c r="I67" s="135" t="s">
        <v>143</v>
      </c>
      <c r="J67" s="135"/>
      <c r="K67" s="187">
        <f>((O67*$H$15)/1000000)/8</f>
        <v>44626</v>
      </c>
      <c r="L67" s="1" t="s">
        <v>91</v>
      </c>
      <c r="M67" s="135" t="s">
        <v>144</v>
      </c>
      <c r="N67" s="135"/>
      <c r="O67" s="187">
        <f>(($H$5)-($N$9)-($J$34))*1000-(O63*1000)-K49</f>
        <v>5578.25</v>
      </c>
      <c r="P67" s="1" t="s">
        <v>21</v>
      </c>
    </row>
    <row r="68" spans="9:16">
      <c r="I68" s="135" t="s">
        <v>145</v>
      </c>
      <c r="J68" s="135"/>
      <c r="K68" s="187">
        <f ca="1">(((O68*$H$16)/1000000)/8)*2</f>
        <v>89266</v>
      </c>
      <c r="L68" s="1" t="s">
        <v>91</v>
      </c>
      <c r="M68" s="135" t="s">
        <v>146</v>
      </c>
      <c r="N68" s="135"/>
      <c r="O68" s="187">
        <f>(($H$5)-($N$9)-($J$34))*1000-(O63*1000)-K50</f>
        <v>5579.125</v>
      </c>
      <c r="P68" s="1" t="s">
        <v>21</v>
      </c>
    </row>
    <row r="69" spans="9:16">
      <c r="I69" s="135" t="s">
        <v>147</v>
      </c>
      <c r="J69" s="135"/>
      <c r="K69" s="187">
        <f ca="1">(((O69*$H$17)/1000000)/8)*4</f>
        <v>178546</v>
      </c>
      <c r="L69" s="1" t="s">
        <v>91</v>
      </c>
      <c r="M69" s="135" t="s">
        <v>148</v>
      </c>
      <c r="N69" s="135"/>
      <c r="O69" s="187">
        <f>(($H$5)-($N$9)-($J$34))*1000-(O63*1000)-K51</f>
        <v>5579.5625</v>
      </c>
      <c r="P69" s="1" t="s">
        <v>21</v>
      </c>
    </row>
    <row r="70" spans="9:16">
      <c r="I70" s="135" t="s">
        <v>149</v>
      </c>
      <c r="J70" s="135"/>
      <c r="K70" s="187">
        <f ca="1">K67-(N42*O70)</f>
        <v>2144</v>
      </c>
      <c r="L70" s="1" t="s">
        <v>91</v>
      </c>
      <c r="M70" s="135" t="s">
        <v>150</v>
      </c>
      <c r="N70" s="135"/>
      <c r="O70" s="187">
        <f ca="1">INT(K67/N42)</f>
        <v>11</v>
      </c>
      <c r="P70" s="1" t="s">
        <v>94</v>
      </c>
    </row>
    <row r="71" spans="9:16">
      <c r="I71" s="135" t="s">
        <v>151</v>
      </c>
      <c r="J71" s="135"/>
      <c r="K71" s="187">
        <f ca="1">K68-(N42*O71)</f>
        <v>440</v>
      </c>
      <c r="L71" s="1" t="s">
        <v>91</v>
      </c>
      <c r="M71" s="135" t="s">
        <v>152</v>
      </c>
      <c r="N71" s="135"/>
      <c r="O71" s="187">
        <f ca="1">INT(K68/N42)</f>
        <v>23</v>
      </c>
      <c r="P71" s="1" t="s">
        <v>94</v>
      </c>
    </row>
    <row r="72" spans="9:16">
      <c r="I72" s="135" t="s">
        <v>153</v>
      </c>
      <c r="J72" s="135"/>
      <c r="K72" s="187">
        <f ca="1">K69-(N42*O72)</f>
        <v>894</v>
      </c>
      <c r="L72" s="1" t="s">
        <v>91</v>
      </c>
      <c r="M72" s="135" t="s">
        <v>154</v>
      </c>
      <c r="N72" s="135"/>
      <c r="O72" s="187">
        <f ca="1">INT(K69/N42)</f>
        <v>46</v>
      </c>
      <c r="P72" s="1" t="s">
        <v>94</v>
      </c>
    </row>
    <row r="73" spans="9:12">
      <c r="I73" s="135" t="s">
        <v>155</v>
      </c>
      <c r="J73" s="135"/>
      <c r="K73" s="187">
        <f ca="1">(J40*O70)+K70</f>
        <v>44384</v>
      </c>
      <c r="L73" s="1" t="s">
        <v>91</v>
      </c>
    </row>
    <row r="74" spans="9:12">
      <c r="I74" s="135" t="s">
        <v>156</v>
      </c>
      <c r="J74" s="135"/>
      <c r="K74" s="187">
        <f ca="1">(J40*O71)+K71</f>
        <v>88760</v>
      </c>
      <c r="L74" s="1" t="s">
        <v>91</v>
      </c>
    </row>
    <row r="75" spans="9:12">
      <c r="I75" s="135" t="s">
        <v>157</v>
      </c>
      <c r="J75" s="135"/>
      <c r="K75" s="187">
        <f ca="1">(J40*O72)+K72</f>
        <v>177534</v>
      </c>
      <c r="L75" s="1" t="s">
        <v>91</v>
      </c>
    </row>
    <row r="76" spans="7:7">
      <c r="G76" s="1" t="s">
        <v>162</v>
      </c>
    </row>
    <row r="77" spans="8:8">
      <c r="H77" s="1" t="s">
        <v>163</v>
      </c>
    </row>
    <row r="78" spans="8:8">
      <c r="H78" s="1" t="s">
        <v>164</v>
      </c>
    </row>
    <row r="79" spans="9:16">
      <c r="I79" s="135" t="s">
        <v>115</v>
      </c>
      <c r="J79" s="135"/>
      <c r="K79" s="181">
        <f>N42</f>
        <v>3862</v>
      </c>
      <c r="L79" s="1" t="s">
        <v>91</v>
      </c>
      <c r="M79" s="135" t="s">
        <v>117</v>
      </c>
      <c r="N79" s="135"/>
      <c r="O79" s="177">
        <f>K79*10</f>
        <v>38620</v>
      </c>
      <c r="P79" s="1" t="s">
        <v>111</v>
      </c>
    </row>
    <row r="80" spans="9:12">
      <c r="I80" s="135" t="s">
        <v>192</v>
      </c>
      <c r="J80" s="135"/>
      <c r="K80" s="179">
        <f>(O79/$H$14)*1000</f>
        <v>19.31</v>
      </c>
      <c r="L80" s="1" t="s">
        <v>18</v>
      </c>
    </row>
    <row r="81" spans="8:8">
      <c r="H81" s="1" t="s">
        <v>166</v>
      </c>
    </row>
    <row r="82" spans="9:16">
      <c r="I82" s="135" t="s">
        <v>115</v>
      </c>
      <c r="J82" s="135"/>
      <c r="K82" s="181">
        <f>N43</f>
        <v>277.999999999985</v>
      </c>
      <c r="L82" s="1" t="s">
        <v>91</v>
      </c>
      <c r="M82" s="135" t="s">
        <v>117</v>
      </c>
      <c r="N82" s="135"/>
      <c r="O82" s="177">
        <f>K82*10</f>
        <v>2779.99999999985</v>
      </c>
      <c r="P82" s="1" t="s">
        <v>111</v>
      </c>
    </row>
    <row r="83" spans="9:12">
      <c r="I83" s="135" t="s">
        <v>192</v>
      </c>
      <c r="J83" s="135"/>
      <c r="K83" s="179">
        <f>(O82/$H$14)*1000</f>
        <v>1.38999999999993</v>
      </c>
      <c r="L83" s="1" t="s">
        <v>18</v>
      </c>
    </row>
    <row r="84" spans="8:8">
      <c r="H84" s="1" t="s">
        <v>167</v>
      </c>
    </row>
    <row r="85" spans="9:16">
      <c r="I85" s="135" t="s">
        <v>192</v>
      </c>
      <c r="J85" s="135"/>
      <c r="K85" s="180">
        <f>(K80*J42)+K83</f>
        <v>329.66</v>
      </c>
      <c r="L85" s="1" t="s">
        <v>18</v>
      </c>
      <c r="M85" s="135" t="s">
        <v>121</v>
      </c>
      <c r="N85" s="135"/>
      <c r="O85" s="177">
        <v>0</v>
      </c>
      <c r="P85" s="1" t="s">
        <v>18</v>
      </c>
    </row>
    <row r="86" spans="8:8">
      <c r="H86" s="1" t="s">
        <v>168</v>
      </c>
    </row>
    <row r="87" spans="9:16">
      <c r="I87" s="135" t="s">
        <v>169</v>
      </c>
      <c r="J87" s="135"/>
      <c r="K87" s="177">
        <f>(($H$5-$N$9-$J$34)-(K80*O87))</f>
        <v>6.2</v>
      </c>
      <c r="L87" s="1" t="s">
        <v>18</v>
      </c>
      <c r="M87" s="135" t="s">
        <v>170</v>
      </c>
      <c r="N87" s="135"/>
      <c r="O87" s="246">
        <f>INT(($H$5-$N$9-$J$34)/K80)</f>
        <v>0</v>
      </c>
      <c r="P87" s="1" t="s">
        <v>94</v>
      </c>
    </row>
    <row r="88" spans="9:16">
      <c r="I88" s="135" t="s">
        <v>171</v>
      </c>
      <c r="J88" s="135"/>
      <c r="K88" s="177">
        <f ca="1">(J40*O87)+O88</f>
        <v>1230</v>
      </c>
      <c r="L88" s="1" t="s">
        <v>91</v>
      </c>
      <c r="M88" s="135" t="s">
        <v>172</v>
      </c>
      <c r="N88" s="135"/>
      <c r="O88" s="177">
        <f ca="1">((K87*$H$14)/1000)/10-N40</f>
        <v>1230</v>
      </c>
      <c r="P88" s="1" t="s">
        <v>91</v>
      </c>
    </row>
  </sheetData>
  <mergeCells count="152">
    <mergeCell ref="E4:Q4"/>
    <mergeCell ref="F5:G5"/>
    <mergeCell ref="L5:M5"/>
    <mergeCell ref="F6:G6"/>
    <mergeCell ref="L6:M6"/>
    <mergeCell ref="F7:G7"/>
    <mergeCell ref="L7:M7"/>
    <mergeCell ref="F8:G8"/>
    <mergeCell ref="L8:M8"/>
    <mergeCell ref="F9:G9"/>
    <mergeCell ref="L9:M9"/>
    <mergeCell ref="F10:G10"/>
    <mergeCell ref="L10:M10"/>
    <mergeCell ref="F11:G11"/>
    <mergeCell ref="L11:M11"/>
    <mergeCell ref="F12:G12"/>
    <mergeCell ref="L12:M12"/>
    <mergeCell ref="F14:G14"/>
    <mergeCell ref="L14:M14"/>
    <mergeCell ref="F15:G15"/>
    <mergeCell ref="L15:M15"/>
    <mergeCell ref="F16:G16"/>
    <mergeCell ref="L16:M16"/>
    <mergeCell ref="F17:G17"/>
    <mergeCell ref="L17:M17"/>
    <mergeCell ref="F18:G18"/>
    <mergeCell ref="E20:Q20"/>
    <mergeCell ref="G21:J21"/>
    <mergeCell ref="K21:N21"/>
    <mergeCell ref="O21:T21"/>
    <mergeCell ref="G22:H22"/>
    <mergeCell ref="I22:J22"/>
    <mergeCell ref="K22:L22"/>
    <mergeCell ref="M22:N22"/>
    <mergeCell ref="O22:P22"/>
    <mergeCell ref="Q22:R22"/>
    <mergeCell ref="S22:T22"/>
    <mergeCell ref="E23:F23"/>
    <mergeCell ref="G23:H23"/>
    <mergeCell ref="I23:J23"/>
    <mergeCell ref="K23:L23"/>
    <mergeCell ref="M23:N23"/>
    <mergeCell ref="O23:P23"/>
    <mergeCell ref="Q23:R23"/>
    <mergeCell ref="S23:T23"/>
    <mergeCell ref="E24:F24"/>
    <mergeCell ref="G24:H24"/>
    <mergeCell ref="I24:J24"/>
    <mergeCell ref="K24:L24"/>
    <mergeCell ref="M24:N24"/>
    <mergeCell ref="O24:P24"/>
    <mergeCell ref="Q24:R24"/>
    <mergeCell ref="S24:T24"/>
    <mergeCell ref="E25:F25"/>
    <mergeCell ref="G25:H25"/>
    <mergeCell ref="I25:J25"/>
    <mergeCell ref="K25:L25"/>
    <mergeCell ref="M25:N25"/>
    <mergeCell ref="O25:P25"/>
    <mergeCell ref="Q25:R25"/>
    <mergeCell ref="S25:T25"/>
    <mergeCell ref="E26:F26"/>
    <mergeCell ref="G26:H26"/>
    <mergeCell ref="I26:J26"/>
    <mergeCell ref="K26:L26"/>
    <mergeCell ref="M26:N26"/>
    <mergeCell ref="O26:P26"/>
    <mergeCell ref="Q26:R26"/>
    <mergeCell ref="S26:T26"/>
    <mergeCell ref="E27:F27"/>
    <mergeCell ref="G27:H27"/>
    <mergeCell ref="I27:J27"/>
    <mergeCell ref="K27:L27"/>
    <mergeCell ref="M27:N27"/>
    <mergeCell ref="O27:P27"/>
    <mergeCell ref="Q27:R27"/>
    <mergeCell ref="S27:T27"/>
    <mergeCell ref="E29:Q29"/>
    <mergeCell ref="H32:I32"/>
    <mergeCell ref="L32:M32"/>
    <mergeCell ref="P32:Q32"/>
    <mergeCell ref="H33:I33"/>
    <mergeCell ref="L33:M33"/>
    <mergeCell ref="P33:Q33"/>
    <mergeCell ref="H34:I34"/>
    <mergeCell ref="L34:M34"/>
    <mergeCell ref="P34:Q34"/>
    <mergeCell ref="H36:I36"/>
    <mergeCell ref="L36:M36"/>
    <mergeCell ref="P36:Q36"/>
    <mergeCell ref="H39:I39"/>
    <mergeCell ref="L39:M39"/>
    <mergeCell ref="H40:I40"/>
    <mergeCell ref="L40:M40"/>
    <mergeCell ref="H41:I41"/>
    <mergeCell ref="H42:I42"/>
    <mergeCell ref="L42:M42"/>
    <mergeCell ref="H43:I43"/>
    <mergeCell ref="L43:M43"/>
    <mergeCell ref="I48:J48"/>
    <mergeCell ref="M48:N48"/>
    <mergeCell ref="I49:J49"/>
    <mergeCell ref="I50:J50"/>
    <mergeCell ref="I51:J51"/>
    <mergeCell ref="I53:J53"/>
    <mergeCell ref="M53:N53"/>
    <mergeCell ref="I54:J54"/>
    <mergeCell ref="I55:J55"/>
    <mergeCell ref="I56:J56"/>
    <mergeCell ref="I58:J58"/>
    <mergeCell ref="M58:N58"/>
    <mergeCell ref="I59:J59"/>
    <mergeCell ref="I60:J60"/>
    <mergeCell ref="I61:J61"/>
    <mergeCell ref="I63:J63"/>
    <mergeCell ref="M63:N63"/>
    <mergeCell ref="I64:J64"/>
    <mergeCell ref="I65:J65"/>
    <mergeCell ref="I67:J67"/>
    <mergeCell ref="M67:N67"/>
    <mergeCell ref="I68:J68"/>
    <mergeCell ref="M68:N68"/>
    <mergeCell ref="I69:J69"/>
    <mergeCell ref="M69:N69"/>
    <mergeCell ref="I70:J70"/>
    <mergeCell ref="M70:N70"/>
    <mergeCell ref="I71:J71"/>
    <mergeCell ref="M71:N71"/>
    <mergeCell ref="I72:J72"/>
    <mergeCell ref="M72:N72"/>
    <mergeCell ref="I73:J73"/>
    <mergeCell ref="I74:J74"/>
    <mergeCell ref="I75:J75"/>
    <mergeCell ref="I79:J79"/>
    <mergeCell ref="M79:N79"/>
    <mergeCell ref="I80:J80"/>
    <mergeCell ref="I82:J82"/>
    <mergeCell ref="M82:N82"/>
    <mergeCell ref="I83:J83"/>
    <mergeCell ref="I85:J85"/>
    <mergeCell ref="M85:N85"/>
    <mergeCell ref="I87:J87"/>
    <mergeCell ref="M87:N87"/>
    <mergeCell ref="I88:J88"/>
    <mergeCell ref="M88:N88"/>
    <mergeCell ref="E5:E12"/>
    <mergeCell ref="E14:E18"/>
    <mergeCell ref="K5:K8"/>
    <mergeCell ref="K9:K12"/>
    <mergeCell ref="K14:K17"/>
    <mergeCell ref="D2:V3"/>
    <mergeCell ref="E21:F22"/>
  </mergeCells>
  <dataValidations count="2">
    <dataValidation type="list" allowBlank="1" showInputMessage="1" showErrorMessage="1" sqref="H12">
      <formula1>"2DFFT,1DFFT"</formula1>
    </dataValidation>
    <dataValidation type="list" allowBlank="1" showInputMessage="1" showErrorMessage="1" sqref="H11">
      <formula1>"1T1R,1T3R,2T4R"</formula1>
    </dataValidation>
  </dataValidations>
  <pageMargins left="0.7" right="0.7" top="0.75" bottom="0.75" header="0.3" footer="0.3"/>
  <pageSetup paperSize="9" orientation="portrait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V125"/>
  <sheetViews>
    <sheetView showGridLines="0" zoomScale="130" zoomScaleNormal="130" workbookViewId="0">
      <selection activeCell="T21" sqref="T21"/>
    </sheetView>
  </sheetViews>
  <sheetFormatPr defaultColWidth="9" defaultRowHeight="15"/>
  <cols>
    <col min="1" max="3" width="2.625" style="1" customWidth="1"/>
    <col min="4" max="7" width="9" style="1"/>
    <col min="8" max="8" width="9.5" style="1" customWidth="1"/>
    <col min="9" max="10" width="9" style="1"/>
    <col min="11" max="11" width="9" style="1" customWidth="1"/>
    <col min="12" max="13" width="9" style="1"/>
    <col min="14" max="14" width="9.5" style="1" customWidth="1"/>
    <col min="15" max="15" width="12.75" style="1" customWidth="1"/>
    <col min="16" max="22" width="9" style="1"/>
    <col min="23" max="25" width="2.625" style="1" customWidth="1"/>
    <col min="26" max="16384" width="9" style="1"/>
  </cols>
  <sheetData>
    <row r="2" s="1" customFormat="1" ht="14.25" customHeight="1" spans="4:22">
      <c r="D2" s="2" t="s">
        <v>193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="1" customFormat="1" ht="14.25" customHeight="1" spans="4:22"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="1" customFormat="1" ht="19.5" spans="5:17">
      <c r="E4" s="96" t="s">
        <v>15</v>
      </c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</row>
    <row r="5" s="1" customFormat="1" spans="5:19">
      <c r="E5" s="97" t="s">
        <v>16</v>
      </c>
      <c r="F5" s="98" t="s">
        <v>17</v>
      </c>
      <c r="G5" s="99"/>
      <c r="H5" s="100">
        <v>20</v>
      </c>
      <c r="I5" s="54" t="s">
        <v>18</v>
      </c>
      <c r="K5" s="136" t="s">
        <v>19</v>
      </c>
      <c r="L5" s="99" t="s">
        <v>20</v>
      </c>
      <c r="M5" s="112"/>
      <c r="N5" s="100">
        <v>1000</v>
      </c>
      <c r="O5" s="54" t="s">
        <v>21</v>
      </c>
      <c r="Q5" s="182"/>
      <c r="R5" s="182"/>
      <c r="S5" s="182"/>
    </row>
    <row r="6" s="1" customFormat="1" spans="4:15">
      <c r="D6" s="101" t="s">
        <v>22</v>
      </c>
      <c r="E6" s="102"/>
      <c r="F6" s="38" t="s">
        <v>23</v>
      </c>
      <c r="G6" s="66"/>
      <c r="H6" s="103">
        <v>58</v>
      </c>
      <c r="I6" s="65" t="s">
        <v>24</v>
      </c>
      <c r="K6" s="137"/>
      <c r="L6" s="66" t="s">
        <v>25</v>
      </c>
      <c r="M6" s="36"/>
      <c r="N6" s="103">
        <v>1500</v>
      </c>
      <c r="O6" s="65" t="s">
        <v>21</v>
      </c>
    </row>
    <row r="7" s="1" customFormat="1" spans="4:15">
      <c r="D7" s="104" t="s">
        <v>26</v>
      </c>
      <c r="E7" s="102"/>
      <c r="F7" s="38" t="s">
        <v>27</v>
      </c>
      <c r="G7" s="66"/>
      <c r="H7" s="103">
        <v>0.165</v>
      </c>
      <c r="I7" s="65" t="s">
        <v>28</v>
      </c>
      <c r="K7" s="137"/>
      <c r="L7" s="66" t="s">
        <v>29</v>
      </c>
      <c r="M7" s="36"/>
      <c r="N7" s="103">
        <v>200</v>
      </c>
      <c r="O7" s="65" t="s">
        <v>21</v>
      </c>
    </row>
    <row r="8" s="1" customFormat="1" ht="15.75" spans="4:15">
      <c r="D8" s="105" t="s">
        <v>30</v>
      </c>
      <c r="E8" s="102"/>
      <c r="F8" s="38" t="s">
        <v>31</v>
      </c>
      <c r="G8" s="66"/>
      <c r="H8" s="103">
        <v>0.04</v>
      </c>
      <c r="I8" s="65" t="s">
        <v>32</v>
      </c>
      <c r="K8" s="138"/>
      <c r="L8" s="78" t="s">
        <v>33</v>
      </c>
      <c r="M8" s="113"/>
      <c r="N8" s="114">
        <v>200</v>
      </c>
      <c r="O8" s="139" t="s">
        <v>21</v>
      </c>
    </row>
    <row r="9" s="1" customFormat="1" spans="5:12">
      <c r="E9" s="102"/>
      <c r="F9" s="38" t="s">
        <v>34</v>
      </c>
      <c r="G9" s="66"/>
      <c r="H9" s="103">
        <v>0.66</v>
      </c>
      <c r="I9" s="65" t="s">
        <v>28</v>
      </c>
      <c r="L9" s="115"/>
    </row>
    <row r="10" s="1" customFormat="1" spans="5:12">
      <c r="E10" s="102"/>
      <c r="F10" s="38" t="s">
        <v>35</v>
      </c>
      <c r="G10" s="66"/>
      <c r="H10" s="103">
        <v>10.24</v>
      </c>
      <c r="I10" s="65" t="s">
        <v>32</v>
      </c>
      <c r="L10" s="115"/>
    </row>
    <row r="11" s="1" customFormat="1" ht="15.75" spans="5:15">
      <c r="E11" s="102"/>
      <c r="F11" s="38" t="s">
        <v>38</v>
      </c>
      <c r="G11" s="66"/>
      <c r="H11" s="106" t="s">
        <v>39</v>
      </c>
      <c r="I11" s="65"/>
      <c r="K11" s="5"/>
      <c r="L11" s="140"/>
      <c r="M11" s="140"/>
      <c r="N11" s="141"/>
      <c r="O11" s="111"/>
    </row>
    <row r="12" s="1" customFormat="1" ht="15.75" spans="5:15">
      <c r="E12" s="107"/>
      <c r="F12" s="46" t="s">
        <v>41</v>
      </c>
      <c r="G12" s="78"/>
      <c r="H12" s="108" t="s">
        <v>42</v>
      </c>
      <c r="I12" s="139"/>
      <c r="K12" s="97" t="s">
        <v>36</v>
      </c>
      <c r="L12" s="142" t="s">
        <v>194</v>
      </c>
      <c r="M12" s="142"/>
      <c r="N12" s="100">
        <v>128</v>
      </c>
      <c r="O12" s="54" t="s">
        <v>91</v>
      </c>
    </row>
    <row r="13" s="1" customFormat="1" ht="15.75" spans="5:15">
      <c r="E13" s="109"/>
      <c r="F13" s="7"/>
      <c r="G13" s="110"/>
      <c r="H13" s="111"/>
      <c r="I13" s="22"/>
      <c r="K13" s="107"/>
      <c r="L13" s="30" t="s">
        <v>43</v>
      </c>
      <c r="M13" s="30"/>
      <c r="N13" s="114">
        <v>0</v>
      </c>
      <c r="O13" s="139" t="s">
        <v>18</v>
      </c>
    </row>
    <row r="14" s="1" customFormat="1" spans="5:22">
      <c r="E14" s="97" t="s">
        <v>45</v>
      </c>
      <c r="F14" s="112" t="s">
        <v>46</v>
      </c>
      <c r="G14" s="112"/>
      <c r="H14" s="100">
        <v>2000000</v>
      </c>
      <c r="I14" s="54" t="s">
        <v>47</v>
      </c>
      <c r="P14" s="22"/>
      <c r="Q14" s="22"/>
      <c r="R14" s="22"/>
      <c r="S14" s="22"/>
      <c r="T14" s="22"/>
      <c r="U14" s="22"/>
      <c r="V14" s="22"/>
    </row>
    <row r="15" s="1" customFormat="1" spans="5:22">
      <c r="E15" s="102"/>
      <c r="F15" s="36" t="s">
        <v>49</v>
      </c>
      <c r="G15" s="36"/>
      <c r="H15" s="103">
        <v>60000000</v>
      </c>
      <c r="I15" s="65" t="s">
        <v>50</v>
      </c>
      <c r="K15" s="143"/>
      <c r="L15" s="144"/>
      <c r="M15" s="144"/>
      <c r="N15" s="145"/>
      <c r="O15" s="111"/>
      <c r="P15" s="146"/>
      <c r="Q15" s="146"/>
      <c r="R15" s="183"/>
      <c r="S15" s="183"/>
      <c r="T15" s="22"/>
      <c r="U15" s="22"/>
      <c r="V15" s="22"/>
    </row>
    <row r="16" s="1" customFormat="1" ht="15.75" spans="5:22">
      <c r="E16" s="102"/>
      <c r="F16" s="36" t="s">
        <v>54</v>
      </c>
      <c r="G16" s="36"/>
      <c r="H16" s="103">
        <v>64000000</v>
      </c>
      <c r="I16" s="65" t="s">
        <v>50</v>
      </c>
      <c r="K16" s="143"/>
      <c r="L16" s="144"/>
      <c r="M16" s="144"/>
      <c r="N16" s="147"/>
      <c r="O16" s="111"/>
      <c r="P16" s="148"/>
      <c r="Q16" s="148"/>
      <c r="R16" s="148"/>
      <c r="S16" s="148"/>
      <c r="T16" s="184"/>
      <c r="U16" s="22"/>
      <c r="V16" s="22"/>
    </row>
    <row r="17" s="1" customFormat="1" spans="5:22">
      <c r="E17" s="102"/>
      <c r="F17" s="36" t="s">
        <v>55</v>
      </c>
      <c r="G17" s="36"/>
      <c r="H17" s="103">
        <v>64000000</v>
      </c>
      <c r="I17" s="65" t="s">
        <v>50</v>
      </c>
      <c r="K17" s="149" t="str">
        <f>IF((N15+N16)&gt;H5,"ERROR: 发波时长+点云计算时长 &gt; 帧周期","")</f>
        <v/>
      </c>
      <c r="L17" s="149"/>
      <c r="M17" s="149"/>
      <c r="N17" s="149"/>
      <c r="O17" s="149"/>
      <c r="P17" s="146"/>
      <c r="Q17" s="146"/>
      <c r="R17" s="183"/>
      <c r="S17" s="183"/>
      <c r="T17" s="22"/>
      <c r="U17" s="22"/>
      <c r="V17" s="22"/>
    </row>
    <row r="18" s="1" customFormat="1" ht="15.75" spans="5:22">
      <c r="E18" s="107"/>
      <c r="F18" s="113" t="s">
        <v>58</v>
      </c>
      <c r="G18" s="113"/>
      <c r="H18" s="114">
        <v>100000</v>
      </c>
      <c r="I18" s="139" t="s">
        <v>50</v>
      </c>
      <c r="K18" s="150"/>
      <c r="L18" s="144"/>
      <c r="M18" s="144"/>
      <c r="N18" s="151"/>
      <c r="O18" s="111"/>
      <c r="P18" s="152"/>
      <c r="Q18" s="152"/>
      <c r="R18" s="111"/>
      <c r="S18" s="111"/>
      <c r="T18" s="22"/>
      <c r="U18" s="22"/>
      <c r="V18" s="22"/>
    </row>
    <row r="19" s="1" customFormat="1" spans="6:22">
      <c r="F19" s="115"/>
      <c r="P19" s="22"/>
      <c r="Q19" s="184"/>
      <c r="R19" s="184"/>
      <c r="S19" s="184"/>
      <c r="T19" s="184"/>
      <c r="U19" s="22"/>
      <c r="V19" s="22"/>
    </row>
    <row r="20" s="1" customFormat="1" ht="19.5" spans="5:22">
      <c r="E20" s="96" t="s">
        <v>60</v>
      </c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22"/>
      <c r="S20" s="22"/>
      <c r="T20" s="22"/>
      <c r="U20" s="22"/>
      <c r="V20" s="22"/>
    </row>
    <row r="21" s="1" customFormat="1" ht="14.25" customHeight="1" spans="5:22">
      <c r="E21" s="116" t="s">
        <v>195</v>
      </c>
      <c r="F21" s="117"/>
      <c r="G21" s="118" t="s">
        <v>62</v>
      </c>
      <c r="H21" s="119"/>
      <c r="I21" s="119"/>
      <c r="J21" s="153"/>
      <c r="K21" s="154" t="s">
        <v>63</v>
      </c>
      <c r="L21" s="155"/>
      <c r="M21" s="156"/>
      <c r="N21" s="156"/>
      <c r="O21" s="150"/>
      <c r="P21" s="150"/>
      <c r="Q21" s="22"/>
      <c r="R21" s="22"/>
      <c r="S21" s="22"/>
      <c r="T21" s="22"/>
      <c r="U21" s="22"/>
      <c r="V21" s="22"/>
    </row>
    <row r="22" s="1" customFormat="1" customHeight="1" spans="5:22">
      <c r="E22" s="120"/>
      <c r="F22" s="121"/>
      <c r="G22" s="122" t="s">
        <v>65</v>
      </c>
      <c r="H22" s="123"/>
      <c r="I22" s="123" t="s">
        <v>66</v>
      </c>
      <c r="J22" s="157"/>
      <c r="K22" s="158" t="s">
        <v>67</v>
      </c>
      <c r="L22" s="159"/>
      <c r="M22" s="156"/>
      <c r="N22" s="156"/>
      <c r="O22" s="150"/>
      <c r="P22" s="150"/>
      <c r="Q22" s="22"/>
      <c r="R22" s="22"/>
      <c r="S22" s="22"/>
      <c r="T22" s="22"/>
      <c r="U22" s="22"/>
      <c r="V22" s="22"/>
    </row>
    <row r="23" s="1" customFormat="1" spans="5:16">
      <c r="E23" s="124" t="s">
        <v>46</v>
      </c>
      <c r="F23" s="51"/>
      <c r="G23" s="125">
        <f>$K$120</f>
        <v>0.69</v>
      </c>
      <c r="H23" s="126"/>
      <c r="I23" s="160">
        <f>$H$5-$N$13-$G$23</f>
        <v>19.31</v>
      </c>
      <c r="J23" s="161"/>
      <c r="K23" s="162">
        <f>$K$123</f>
        <v>3980</v>
      </c>
      <c r="L23" s="161"/>
      <c r="M23" s="163"/>
      <c r="N23" s="163"/>
      <c r="O23" s="164"/>
      <c r="P23" s="164"/>
    </row>
    <row r="24" s="1" customFormat="1" spans="5:16">
      <c r="E24" s="127" t="s">
        <v>49</v>
      </c>
      <c r="F24" s="38"/>
      <c r="G24" s="128">
        <f>$K$94</f>
        <v>2.92106666666667</v>
      </c>
      <c r="H24" s="129"/>
      <c r="I24" s="165">
        <f>$H$5-$N$13-$G$24</f>
        <v>17.0789333333333</v>
      </c>
      <c r="J24" s="166"/>
      <c r="K24" s="167">
        <f>$K$104</f>
        <v>130889.142857143</v>
      </c>
      <c r="L24" s="166"/>
      <c r="M24" s="168"/>
      <c r="N24" s="168"/>
      <c r="O24" s="164"/>
      <c r="P24" s="164"/>
    </row>
    <row r="25" s="1" customFormat="1" spans="5:17">
      <c r="E25" s="127" t="s">
        <v>54</v>
      </c>
      <c r="F25" s="38"/>
      <c r="G25" s="128">
        <f>$K$95</f>
        <v>2.909875</v>
      </c>
      <c r="H25" s="129"/>
      <c r="I25" s="165">
        <f>$H$5-$N$13-$G$25</f>
        <v>17.090125</v>
      </c>
      <c r="J25" s="166"/>
      <c r="K25" s="167">
        <f>$K$105</f>
        <v>279252.779220779</v>
      </c>
      <c r="L25" s="166"/>
      <c r="M25" s="168"/>
      <c r="N25" s="168"/>
      <c r="O25" s="164"/>
      <c r="P25" s="164"/>
      <c r="Q25" s="185"/>
    </row>
    <row r="26" s="1" customFormat="1" spans="5:16">
      <c r="E26" s="127" t="s">
        <v>55</v>
      </c>
      <c r="F26" s="38"/>
      <c r="G26" s="128">
        <f>$K$96</f>
        <v>2.9049375</v>
      </c>
      <c r="H26" s="129"/>
      <c r="I26" s="165">
        <f>$H$5-$N$13-$G$26</f>
        <v>17.0950625</v>
      </c>
      <c r="J26" s="166"/>
      <c r="K26" s="167">
        <f>$K$106</f>
        <v>558525.506493506</v>
      </c>
      <c r="L26" s="166"/>
      <c r="M26" s="168"/>
      <c r="N26" s="168"/>
      <c r="O26" s="164"/>
      <c r="P26" s="164"/>
    </row>
    <row r="27" s="1" customFormat="1" ht="15.75" spans="5:16">
      <c r="E27" s="130" t="s">
        <v>58</v>
      </c>
      <c r="F27" s="46"/>
      <c r="G27" s="131">
        <f>K64</f>
        <v>17.51</v>
      </c>
      <c r="H27" s="132"/>
      <c r="I27" s="169">
        <f>$H$5-$N$13-$G$27</f>
        <v>2.49</v>
      </c>
      <c r="J27" s="170"/>
      <c r="K27" s="131">
        <f>$K$68</f>
        <v>154</v>
      </c>
      <c r="L27" s="171"/>
      <c r="M27" s="172"/>
      <c r="N27" s="172"/>
      <c r="O27" s="164"/>
      <c r="P27" s="164"/>
    </row>
    <row r="28" s="1" customFormat="1" spans="6:6">
      <c r="F28" s="7"/>
    </row>
    <row r="29" s="1" customFormat="1" ht="23.25" spans="5:17">
      <c r="E29" s="133" t="s">
        <v>72</v>
      </c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</row>
    <row r="30" s="1" customFormat="1" spans="6:6">
      <c r="F30" s="1" t="s">
        <v>73</v>
      </c>
    </row>
    <row r="31" s="1" customFormat="1" spans="7:7">
      <c r="G31" s="1" t="s">
        <v>74</v>
      </c>
    </row>
    <row r="32" s="1" customFormat="1" spans="8:18">
      <c r="H32" s="134" t="s">
        <v>75</v>
      </c>
      <c r="I32" s="134"/>
      <c r="J32" s="173">
        <f>INT((300000000/($H$6*1000000000+((300000000/(2*$H$8*1000/100))/2)))/(4*$H$9)*1000000)</f>
        <v>1952</v>
      </c>
      <c r="K32" s="174" t="s">
        <v>21</v>
      </c>
      <c r="L32" s="134" t="s">
        <v>76</v>
      </c>
      <c r="M32" s="134"/>
      <c r="N32" s="175">
        <f>ROUNDUP(($J$33/10+10)/1000*$R$32*(IF($H$11="2T4R",2,1)),2)</f>
        <v>0.03</v>
      </c>
      <c r="O32" s="174" t="s">
        <v>18</v>
      </c>
      <c r="P32" s="134" t="s">
        <v>77</v>
      </c>
      <c r="Q32" s="134"/>
      <c r="R32" s="178">
        <v>1</v>
      </c>
    </row>
    <row r="33" s="1" customFormat="1" spans="8:14">
      <c r="H33" s="134" t="s">
        <v>78</v>
      </c>
      <c r="I33" s="134"/>
      <c r="J33" s="176">
        <f>POWER(2,(LOG(($H$10*1000)/($H$8/1000),2)))/10000000</f>
        <v>25.6</v>
      </c>
      <c r="L33" s="134" t="s">
        <v>79</v>
      </c>
      <c r="M33" s="134"/>
      <c r="N33" s="176">
        <f>POWER(2,(LOG(2*($H$9*1000)/($H$7/1000),2)))/10000000</f>
        <v>0.8</v>
      </c>
    </row>
    <row r="34" s="1" customFormat="1" spans="8:11">
      <c r="H34" s="134" t="s">
        <v>80</v>
      </c>
      <c r="I34" s="134"/>
      <c r="J34" s="176">
        <f>ROUNDUP(IF($H$12="2DFFT",(($J$32*($N$33-1))/1000+$N$32),$N$32),1)</f>
        <v>-0.4</v>
      </c>
      <c r="K34" s="174" t="s">
        <v>18</v>
      </c>
    </row>
    <row r="35" s="1" customFormat="1" spans="7:7">
      <c r="G35" s="1" t="s">
        <v>81</v>
      </c>
    </row>
    <row r="36" s="1" customFormat="1" spans="8:15">
      <c r="H36" s="134" t="s">
        <v>82</v>
      </c>
      <c r="I36" s="134"/>
      <c r="J36" s="177">
        <f>($N$36*$N$11)/1000</f>
        <v>0</v>
      </c>
      <c r="K36" s="1" t="s">
        <v>18</v>
      </c>
      <c r="L36" s="134" t="s">
        <v>83</v>
      </c>
      <c r="M36" s="134"/>
      <c r="N36" s="178">
        <v>29</v>
      </c>
      <c r="O36" s="1" t="s">
        <v>84</v>
      </c>
    </row>
    <row r="37" s="1" customFormat="1" spans="8:15">
      <c r="H37" s="134" t="s">
        <v>85</v>
      </c>
      <c r="I37" s="134"/>
      <c r="J37" s="179">
        <f>J36+N37</f>
        <v>6</v>
      </c>
      <c r="K37" s="1" t="s">
        <v>18</v>
      </c>
      <c r="L37" s="134" t="s">
        <v>86</v>
      </c>
      <c r="M37" s="134"/>
      <c r="N37" s="178">
        <v>6</v>
      </c>
      <c r="O37" s="1" t="s">
        <v>87</v>
      </c>
    </row>
    <row r="38" s="1" customFormat="1" spans="6:6">
      <c r="F38" s="1" t="s">
        <v>88</v>
      </c>
    </row>
    <row r="39" s="1" customFormat="1" spans="7:7">
      <c r="G39" s="1" t="s">
        <v>196</v>
      </c>
    </row>
    <row r="40" s="1" customFormat="1" spans="8:17">
      <c r="H40" s="135" t="s">
        <v>97</v>
      </c>
      <c r="I40" s="135"/>
      <c r="J40" s="177">
        <f>N12</f>
        <v>128</v>
      </c>
      <c r="K40" s="1" t="s">
        <v>91</v>
      </c>
      <c r="L40" s="135"/>
      <c r="M40" s="135"/>
      <c r="N40" s="135"/>
      <c r="O40" s="135"/>
      <c r="P40" s="135"/>
      <c r="Q40" s="135"/>
    </row>
    <row r="41" s="1" customFormat="1" spans="7:7">
      <c r="G41" s="1" t="s">
        <v>197</v>
      </c>
    </row>
    <row r="42" s="1" customFormat="1" spans="8:16">
      <c r="H42" s="135" t="s">
        <v>100</v>
      </c>
      <c r="I42" s="135"/>
      <c r="J42" s="178">
        <v>3840</v>
      </c>
      <c r="K42" s="1" t="s">
        <v>91</v>
      </c>
      <c r="L42" s="135" t="s">
        <v>101</v>
      </c>
      <c r="M42" s="135"/>
      <c r="N42" s="178">
        <v>10</v>
      </c>
      <c r="O42" s="1" t="s">
        <v>91</v>
      </c>
      <c r="P42" s="1" t="s">
        <v>102</v>
      </c>
    </row>
    <row r="43" s="1" customFormat="1" spans="8:15">
      <c r="H43" s="135" t="s">
        <v>103</v>
      </c>
      <c r="I43" s="135"/>
      <c r="J43" s="177">
        <f>INT(J40/J42)</f>
        <v>0</v>
      </c>
      <c r="K43" s="1" t="s">
        <v>94</v>
      </c>
      <c r="L43" s="135" t="s">
        <v>104</v>
      </c>
      <c r="M43" s="135"/>
      <c r="N43" s="177">
        <f>J42+N42</f>
        <v>3850</v>
      </c>
      <c r="O43" s="1" t="s">
        <v>91</v>
      </c>
    </row>
    <row r="44" s="1" customFormat="1" spans="8:15">
      <c r="H44" s="135" t="s">
        <v>105</v>
      </c>
      <c r="I44" s="135"/>
      <c r="J44" s="177">
        <f>J40-(J42*J43)</f>
        <v>128</v>
      </c>
      <c r="K44" s="1" t="s">
        <v>94</v>
      </c>
      <c r="L44" s="135" t="s">
        <v>106</v>
      </c>
      <c r="M44" s="135"/>
      <c r="N44" s="177">
        <f>J44+N42</f>
        <v>138</v>
      </c>
      <c r="O44" s="1" t="s">
        <v>91</v>
      </c>
    </row>
    <row r="45" s="1" customFormat="1" spans="6:6">
      <c r="F45" s="1" t="s">
        <v>107</v>
      </c>
    </row>
    <row r="46" s="1" customFormat="1" spans="7:7">
      <c r="G46" s="1" t="s">
        <v>108</v>
      </c>
    </row>
    <row r="47" s="1" customFormat="1" spans="8:8">
      <c r="H47" s="1" t="s">
        <v>109</v>
      </c>
    </row>
    <row r="48" s="1" customFormat="1" spans="8:19">
      <c r="H48" s="135" t="s">
        <v>110</v>
      </c>
      <c r="I48" s="135"/>
      <c r="J48" s="178">
        <v>9</v>
      </c>
      <c r="K48" s="1" t="s">
        <v>111</v>
      </c>
      <c r="L48" s="135" t="s">
        <v>112</v>
      </c>
      <c r="M48" s="135"/>
      <c r="N48" s="178">
        <v>9</v>
      </c>
      <c r="O48" s="1" t="s">
        <v>111</v>
      </c>
      <c r="P48" s="135" t="s">
        <v>113</v>
      </c>
      <c r="Q48" s="135"/>
      <c r="R48" s="178">
        <v>4</v>
      </c>
      <c r="S48" s="1" t="s">
        <v>111</v>
      </c>
    </row>
    <row r="49" s="1" customFormat="1" spans="8:8">
      <c r="H49" s="1" t="s">
        <v>114</v>
      </c>
    </row>
    <row r="50" s="1" customFormat="1" spans="9:12">
      <c r="I50" s="135" t="s">
        <v>115</v>
      </c>
      <c r="J50" s="135"/>
      <c r="K50" s="178">
        <v>14</v>
      </c>
      <c r="L50" s="1" t="s">
        <v>91</v>
      </c>
    </row>
    <row r="51" s="1" customFormat="1" spans="9:16">
      <c r="I51" s="135" t="s">
        <v>116</v>
      </c>
      <c r="J51" s="135"/>
      <c r="K51" s="180">
        <f>(O51*(1/$H$18))*1000</f>
        <v>1.39</v>
      </c>
      <c r="L51" s="1" t="s">
        <v>18</v>
      </c>
      <c r="M51" s="135" t="s">
        <v>117</v>
      </c>
      <c r="N51" s="135"/>
      <c r="O51" s="177">
        <f>(K50*J48)+N48+R48</f>
        <v>139</v>
      </c>
      <c r="P51" s="1" t="s">
        <v>111</v>
      </c>
    </row>
    <row r="52" s="1" customFormat="1" spans="8:8">
      <c r="H52" s="1" t="s">
        <v>118</v>
      </c>
    </row>
    <row r="53" s="1" customFormat="1" spans="9:12">
      <c r="I53" s="135" t="s">
        <v>115</v>
      </c>
      <c r="J53" s="135"/>
      <c r="K53" s="178">
        <v>6</v>
      </c>
      <c r="L53" s="1" t="s">
        <v>91</v>
      </c>
    </row>
    <row r="54" s="1" customFormat="1" spans="9:16">
      <c r="I54" s="135" t="s">
        <v>116</v>
      </c>
      <c r="J54" s="135"/>
      <c r="K54" s="180">
        <f>(O54*(1/$H$18))*1000</f>
        <v>0.67</v>
      </c>
      <c r="L54" s="1" t="s">
        <v>18</v>
      </c>
      <c r="M54" s="135" t="s">
        <v>117</v>
      </c>
      <c r="N54" s="135"/>
      <c r="O54" s="177">
        <f>(K53*J48)+N48+R48</f>
        <v>67</v>
      </c>
      <c r="P54" s="1" t="s">
        <v>111</v>
      </c>
    </row>
    <row r="55" s="1" customFormat="1" spans="8:8">
      <c r="H55" s="1" t="s">
        <v>119</v>
      </c>
    </row>
    <row r="56" s="1" customFormat="1" spans="9:12">
      <c r="I56" s="135" t="s">
        <v>115</v>
      </c>
      <c r="J56" s="135"/>
      <c r="K56" s="181">
        <f>N43</f>
        <v>3850</v>
      </c>
      <c r="L56" s="1" t="s">
        <v>91</v>
      </c>
    </row>
    <row r="57" s="1" customFormat="1" spans="9:16">
      <c r="I57" s="135" t="s">
        <v>116</v>
      </c>
      <c r="J57" s="135"/>
      <c r="K57" s="180">
        <f>(O57*(1/$H$18))*1000</f>
        <v>346.63</v>
      </c>
      <c r="L57" s="1" t="s">
        <v>18</v>
      </c>
      <c r="M57" s="135" t="s">
        <v>117</v>
      </c>
      <c r="N57" s="135"/>
      <c r="O57" s="177">
        <f>(K56*J48)+N48+R48</f>
        <v>34663</v>
      </c>
      <c r="P57" s="1" t="s">
        <v>111</v>
      </c>
    </row>
    <row r="58" s="1" customFormat="1" spans="9:16">
      <c r="I58" s="135" t="s">
        <v>120</v>
      </c>
      <c r="J58" s="135"/>
      <c r="K58" s="180">
        <f>K57+O58</f>
        <v>347.03</v>
      </c>
      <c r="L58" s="1" t="s">
        <v>18</v>
      </c>
      <c r="M58" s="135" t="s">
        <v>121</v>
      </c>
      <c r="N58" s="135"/>
      <c r="O58" s="177">
        <f>($N$7+$N$8)/1000</f>
        <v>0.4</v>
      </c>
      <c r="P58" s="1" t="s">
        <v>18</v>
      </c>
    </row>
    <row r="59" s="1" customFormat="1" spans="8:8">
      <c r="H59" s="1" t="s">
        <v>122</v>
      </c>
    </row>
    <row r="60" s="1" customFormat="1" spans="9:12">
      <c r="I60" s="135" t="s">
        <v>115</v>
      </c>
      <c r="J60" s="135"/>
      <c r="K60" s="181">
        <f>N44</f>
        <v>138</v>
      </c>
      <c r="L60" s="1" t="s">
        <v>91</v>
      </c>
    </row>
    <row r="61" s="1" customFormat="1" spans="9:16">
      <c r="I61" s="135" t="s">
        <v>116</v>
      </c>
      <c r="J61" s="135"/>
      <c r="K61" s="180">
        <f>(O61*(1/$H$18))*1000</f>
        <v>12.55</v>
      </c>
      <c r="L61" s="1" t="s">
        <v>18</v>
      </c>
      <c r="M61" s="135" t="s">
        <v>117</v>
      </c>
      <c r="N61" s="135"/>
      <c r="O61" s="177">
        <f>(K60*J48)+N48+R48</f>
        <v>1255</v>
      </c>
      <c r="P61" s="1" t="s">
        <v>111</v>
      </c>
    </row>
    <row r="62" s="1" customFormat="1" spans="9:16">
      <c r="I62" s="135" t="s">
        <v>120</v>
      </c>
      <c r="J62" s="135"/>
      <c r="K62" s="180">
        <f>K61+O62</f>
        <v>12.95</v>
      </c>
      <c r="L62" s="1" t="s">
        <v>18</v>
      </c>
      <c r="M62" s="135" t="s">
        <v>121</v>
      </c>
      <c r="N62" s="135"/>
      <c r="O62" s="177">
        <f>($N$7+$N$8)/1000</f>
        <v>0.4</v>
      </c>
      <c r="P62" s="1" t="s">
        <v>18</v>
      </c>
    </row>
    <row r="63" s="1" customFormat="1" spans="8:8">
      <c r="H63" s="1" t="s">
        <v>123</v>
      </c>
    </row>
    <row r="64" s="1" customFormat="1" spans="9:16">
      <c r="I64" s="135" t="s">
        <v>120</v>
      </c>
      <c r="J64" s="135"/>
      <c r="K64" s="180">
        <f>K51+K54+(K58*J43)+K62+O64</f>
        <v>17.51</v>
      </c>
      <c r="L64" s="1" t="s">
        <v>18</v>
      </c>
      <c r="M64" s="135" t="s">
        <v>121</v>
      </c>
      <c r="N64" s="135"/>
      <c r="O64" s="177">
        <f>($N$5+$N$6)/1000</f>
        <v>2.5</v>
      </c>
      <c r="P64" s="1" t="s">
        <v>18</v>
      </c>
    </row>
    <row r="65" s="1" customFormat="1" spans="8:8">
      <c r="H65" s="1" t="s">
        <v>124</v>
      </c>
    </row>
    <row r="66" s="1" customFormat="1" spans="9:16">
      <c r="I66" s="135" t="s">
        <v>125</v>
      </c>
      <c r="J66" s="135"/>
      <c r="K66" s="180">
        <f>$H$5-O66</f>
        <v>15.44</v>
      </c>
      <c r="L66" s="1" t="s">
        <v>18</v>
      </c>
      <c r="M66" s="135" t="s">
        <v>126</v>
      </c>
      <c r="N66" s="135"/>
      <c r="O66" s="180">
        <f>K51+K54+O64</f>
        <v>4.56</v>
      </c>
      <c r="P66" s="1" t="s">
        <v>18</v>
      </c>
    </row>
    <row r="67" s="1" customFormat="1" spans="9:16">
      <c r="I67" s="135" t="s">
        <v>127</v>
      </c>
      <c r="J67" s="135"/>
      <c r="K67" s="180">
        <f>INT(K66/K58)</f>
        <v>0</v>
      </c>
      <c r="L67" s="1" t="s">
        <v>94</v>
      </c>
      <c r="M67" s="135" t="s">
        <v>128</v>
      </c>
      <c r="N67" s="135"/>
      <c r="O67" s="180">
        <f>((K66-O62)*$H$18)/1000</f>
        <v>1504</v>
      </c>
      <c r="P67" s="1" t="s">
        <v>111</v>
      </c>
    </row>
    <row r="68" s="1" customFormat="1" spans="9:16">
      <c r="I68" s="135" t="s">
        <v>129</v>
      </c>
      <c r="J68" s="135"/>
      <c r="K68" s="180">
        <f>(K67*J42)+O68</f>
        <v>154</v>
      </c>
      <c r="L68" s="1" t="s">
        <v>91</v>
      </c>
      <c r="M68" s="135" t="s">
        <v>130</v>
      </c>
      <c r="N68" s="135"/>
      <c r="O68" s="180">
        <f>INT((O67-2*(R48+N48))/J48)-N42</f>
        <v>154</v>
      </c>
      <c r="P68" s="1" t="s">
        <v>91</v>
      </c>
    </row>
    <row r="69" s="1" customFormat="1" spans="8:8">
      <c r="H69" s="1" t="s">
        <v>131</v>
      </c>
    </row>
    <row r="70" s="1" customFormat="1" spans="9:12">
      <c r="I70" s="1" t="s">
        <v>132</v>
      </c>
      <c r="K70" s="180" t="e">
        <f>INT(K68/#REF!)</f>
        <v>#REF!</v>
      </c>
      <c r="L70" s="1" t="s">
        <v>91</v>
      </c>
    </row>
    <row r="71" s="1" customFormat="1" spans="7:7">
      <c r="G71" s="1" t="s">
        <v>133</v>
      </c>
    </row>
    <row r="72" s="1" customFormat="1" spans="8:8">
      <c r="H72" s="1" t="s">
        <v>109</v>
      </c>
    </row>
    <row r="73" s="1" customFormat="1" spans="8:8">
      <c r="H73" s="1" t="s">
        <v>134</v>
      </c>
    </row>
    <row r="74" s="1" customFormat="1" spans="9:16">
      <c r="I74" s="135" t="s">
        <v>115</v>
      </c>
      <c r="J74" s="135"/>
      <c r="K74" s="178">
        <v>14</v>
      </c>
      <c r="L74" s="1" t="s">
        <v>91</v>
      </c>
      <c r="M74" s="135" t="s">
        <v>117</v>
      </c>
      <c r="N74" s="135"/>
      <c r="O74" s="177">
        <f>K74*8</f>
        <v>112</v>
      </c>
      <c r="P74" s="1" t="s">
        <v>111</v>
      </c>
    </row>
    <row r="75" s="1" customFormat="1" spans="9:12">
      <c r="I75" s="135" t="s">
        <v>135</v>
      </c>
      <c r="J75" s="135"/>
      <c r="K75" s="179">
        <f>((O74*(1/$H$15))/1)*1000000</f>
        <v>1.86666666666667</v>
      </c>
      <c r="L75" s="1" t="s">
        <v>21</v>
      </c>
    </row>
    <row r="76" s="1" customFormat="1" spans="9:12">
      <c r="I76" s="135" t="s">
        <v>136</v>
      </c>
      <c r="J76" s="135"/>
      <c r="K76" s="179">
        <f>((O74*(1/$H$16))/2)*1000000</f>
        <v>0.875</v>
      </c>
      <c r="L76" s="1" t="s">
        <v>21</v>
      </c>
    </row>
    <row r="77" s="1" customFormat="1" spans="9:12">
      <c r="I77" s="135" t="s">
        <v>137</v>
      </c>
      <c r="J77" s="135"/>
      <c r="K77" s="179">
        <f>((O74*(1/$H$17))/4)*1000000</f>
        <v>0.4375</v>
      </c>
      <c r="L77" s="1" t="s">
        <v>21</v>
      </c>
    </row>
    <row r="78" s="1" customFormat="1" spans="8:8">
      <c r="H78" s="1" t="s">
        <v>138</v>
      </c>
    </row>
    <row r="79" s="1" customFormat="1" spans="9:16">
      <c r="I79" s="135" t="s">
        <v>115</v>
      </c>
      <c r="J79" s="135"/>
      <c r="K79" s="178">
        <v>6</v>
      </c>
      <c r="L79" s="1" t="s">
        <v>91</v>
      </c>
      <c r="M79" s="135" t="s">
        <v>117</v>
      </c>
      <c r="N79" s="135"/>
      <c r="O79" s="177">
        <f>K79*8</f>
        <v>48</v>
      </c>
      <c r="P79" s="1" t="s">
        <v>111</v>
      </c>
    </row>
    <row r="80" s="1" customFormat="1" spans="9:12">
      <c r="I80" s="135" t="s">
        <v>135</v>
      </c>
      <c r="J80" s="135"/>
      <c r="K80" s="179">
        <f>((O79*(1/$H$15))/1)*1000000</f>
        <v>0.8</v>
      </c>
      <c r="L80" s="1" t="s">
        <v>21</v>
      </c>
    </row>
    <row r="81" s="1" customFormat="1" spans="9:12">
      <c r="I81" s="135" t="s">
        <v>136</v>
      </c>
      <c r="J81" s="135"/>
      <c r="K81" s="179">
        <f>((O79*(1/$H$16))/2)*1000000</f>
        <v>0.375</v>
      </c>
      <c r="L81" s="1" t="s">
        <v>21</v>
      </c>
    </row>
    <row r="82" s="1" customFormat="1" spans="9:12">
      <c r="I82" s="135" t="s">
        <v>137</v>
      </c>
      <c r="J82" s="135"/>
      <c r="K82" s="179">
        <f>((O79*(1/$H$17))/4)*1000000</f>
        <v>0.1875</v>
      </c>
      <c r="L82" s="1" t="s">
        <v>21</v>
      </c>
    </row>
    <row r="83" s="1" customFormat="1" spans="8:8">
      <c r="H83" s="1" t="s">
        <v>139</v>
      </c>
    </row>
    <row r="84" s="1" customFormat="1" spans="9:16">
      <c r="I84" s="135" t="s">
        <v>115</v>
      </c>
      <c r="J84" s="135"/>
      <c r="K84" s="181">
        <f>N43</f>
        <v>3850</v>
      </c>
      <c r="L84" s="1" t="s">
        <v>91</v>
      </c>
      <c r="M84" s="135" t="s">
        <v>117</v>
      </c>
      <c r="N84" s="135"/>
      <c r="O84" s="177">
        <f>K84*8</f>
        <v>30800</v>
      </c>
      <c r="P84" s="1" t="s">
        <v>111</v>
      </c>
    </row>
    <row r="85" s="1" customFormat="1" spans="9:12">
      <c r="I85" s="135" t="s">
        <v>135</v>
      </c>
      <c r="J85" s="135"/>
      <c r="K85" s="179">
        <f>((O84*(1/$H$15))/1)*1000000+($N$7+$N$8)</f>
        <v>913.333333333333</v>
      </c>
      <c r="L85" s="1" t="s">
        <v>21</v>
      </c>
    </row>
    <row r="86" s="1" customFormat="1" spans="9:12">
      <c r="I86" s="135" t="s">
        <v>136</v>
      </c>
      <c r="J86" s="135"/>
      <c r="K86" s="179">
        <f>((O84*(1/$H$16))/2)*1000000+($N$7+$N$8)</f>
        <v>640.625</v>
      </c>
      <c r="L86" s="1" t="s">
        <v>21</v>
      </c>
    </row>
    <row r="87" s="1" customFormat="1" spans="9:12">
      <c r="I87" s="135" t="s">
        <v>137</v>
      </c>
      <c r="J87" s="135"/>
      <c r="K87" s="179">
        <f>((O84*(1/$H$17))/4)*1000000+($N$7+$N$8)</f>
        <v>520.3125</v>
      </c>
      <c r="L87" s="1" t="s">
        <v>21</v>
      </c>
    </row>
    <row r="88" s="1" customFormat="1" spans="8:8">
      <c r="H88" s="1" t="s">
        <v>140</v>
      </c>
    </row>
    <row r="89" s="1" customFormat="1" spans="9:16">
      <c r="I89" s="135" t="s">
        <v>115</v>
      </c>
      <c r="J89" s="135"/>
      <c r="K89" s="181">
        <f>N44</f>
        <v>138</v>
      </c>
      <c r="L89" s="1" t="s">
        <v>91</v>
      </c>
      <c r="M89" s="135" t="s">
        <v>117</v>
      </c>
      <c r="N89" s="135"/>
      <c r="O89" s="177">
        <f>K89*8</f>
        <v>1104</v>
      </c>
      <c r="P89" s="1" t="s">
        <v>111</v>
      </c>
    </row>
    <row r="90" s="1" customFormat="1" spans="9:12">
      <c r="I90" s="135" t="s">
        <v>135</v>
      </c>
      <c r="J90" s="135"/>
      <c r="K90" s="179">
        <f>((O89*(1/$H$15))/1)*1000000+($N$7+$N$8)</f>
        <v>418.4</v>
      </c>
      <c r="L90" s="1" t="s">
        <v>21</v>
      </c>
    </row>
    <row r="91" s="1" customFormat="1" spans="9:12">
      <c r="I91" s="135" t="s">
        <v>136</v>
      </c>
      <c r="J91" s="135"/>
      <c r="K91" s="179">
        <f>((O89*(1/$H$16))/2)*1000000+($N$7+$N$8)</f>
        <v>408.625</v>
      </c>
      <c r="L91" s="1" t="s">
        <v>21</v>
      </c>
    </row>
    <row r="92" s="1" customFormat="1" spans="9:12">
      <c r="I92" s="135" t="s">
        <v>137</v>
      </c>
      <c r="J92" s="135"/>
      <c r="K92" s="179">
        <f>((O89*(1/$H$17))/4)*1000000+($N$7+$N$8)</f>
        <v>404.3125</v>
      </c>
      <c r="L92" s="1" t="s">
        <v>21</v>
      </c>
    </row>
    <row r="93" s="1" customFormat="1" spans="8:8">
      <c r="H93" s="1" t="s">
        <v>141</v>
      </c>
    </row>
    <row r="94" s="1" customFormat="1" spans="9:16">
      <c r="I94" s="135" t="s">
        <v>135</v>
      </c>
      <c r="J94" s="135"/>
      <c r="K94" s="180">
        <f>(K75+K80+(K85*J43)+K90)/1000+O94</f>
        <v>2.92106666666667</v>
      </c>
      <c r="L94" s="1" t="s">
        <v>18</v>
      </c>
      <c r="M94" s="135" t="s">
        <v>121</v>
      </c>
      <c r="N94" s="135"/>
      <c r="O94" s="177">
        <f>($N$5+$N$6)/1000</f>
        <v>2.5</v>
      </c>
      <c r="P94" s="1" t="s">
        <v>18</v>
      </c>
    </row>
    <row r="95" s="1" customFormat="1" spans="9:15">
      <c r="I95" s="135" t="s">
        <v>136</v>
      </c>
      <c r="J95" s="135"/>
      <c r="K95" s="180">
        <f>(K76+K81+(K86*J43)+K91)/1000+O94</f>
        <v>2.909875</v>
      </c>
      <c r="L95" s="1" t="s">
        <v>18</v>
      </c>
      <c r="M95" s="135"/>
      <c r="N95" s="135"/>
      <c r="O95" s="186"/>
    </row>
    <row r="96" s="1" customFormat="1" spans="9:15">
      <c r="I96" s="135" t="s">
        <v>137</v>
      </c>
      <c r="J96" s="135"/>
      <c r="K96" s="180">
        <f>(K77+K82+(K87*J43)+K92)/1000+O94</f>
        <v>2.9049375</v>
      </c>
      <c r="L96" s="1" t="s">
        <v>18</v>
      </c>
      <c r="M96" s="135"/>
      <c r="N96" s="135"/>
      <c r="O96" s="186"/>
    </row>
    <row r="97" s="1" customFormat="1" spans="8:8">
      <c r="H97" s="1" t="s">
        <v>142</v>
      </c>
    </row>
    <row r="98" s="1" customFormat="1" spans="9:16">
      <c r="I98" s="135" t="s">
        <v>143</v>
      </c>
      <c r="J98" s="135"/>
      <c r="K98" s="187">
        <f>((O98*$H$15)/1000000)/8</f>
        <v>131230</v>
      </c>
      <c r="L98" s="1" t="s">
        <v>91</v>
      </c>
      <c r="M98" s="135" t="s">
        <v>144</v>
      </c>
      <c r="N98" s="135"/>
      <c r="O98" s="187">
        <f>(($H$5)-($N$13))*1000-(O94*1000)-K75-K80</f>
        <v>17497.3333333333</v>
      </c>
      <c r="P98" s="1" t="s">
        <v>21</v>
      </c>
    </row>
    <row r="99" s="1" customFormat="1" spans="9:16">
      <c r="I99" s="135" t="s">
        <v>145</v>
      </c>
      <c r="J99" s="135"/>
      <c r="K99" s="187">
        <f>(((O99*$H$16)/1000000)/8)*2</f>
        <v>279980</v>
      </c>
      <c r="L99" s="1" t="s">
        <v>91</v>
      </c>
      <c r="M99" s="135" t="s">
        <v>146</v>
      </c>
      <c r="N99" s="135"/>
      <c r="O99" s="187">
        <f>(($H$5)-($N$13))*1000-(O94*1000)-K76-K81</f>
        <v>17498.75</v>
      </c>
      <c r="P99" s="1" t="s">
        <v>21</v>
      </c>
    </row>
    <row r="100" s="1" customFormat="1" spans="9:16">
      <c r="I100" s="135" t="s">
        <v>147</v>
      </c>
      <c r="J100" s="135"/>
      <c r="K100" s="187">
        <f>(((O100*$H$17)/1000000)/8)*4</f>
        <v>559980</v>
      </c>
      <c r="L100" s="1" t="s">
        <v>91</v>
      </c>
      <c r="M100" s="135" t="s">
        <v>148</v>
      </c>
      <c r="N100" s="135"/>
      <c r="O100" s="187">
        <f>(($H$5)-($N$13))*1000-(O94*1000)-K77-K82</f>
        <v>17499.375</v>
      </c>
      <c r="P100" s="1" t="s">
        <v>21</v>
      </c>
    </row>
    <row r="101" s="1" customFormat="1" spans="9:16">
      <c r="I101" s="135" t="s">
        <v>149</v>
      </c>
      <c r="J101" s="135"/>
      <c r="K101" s="187">
        <f>K98-(N43*O101)</f>
        <v>0</v>
      </c>
      <c r="L101" s="1" t="s">
        <v>91</v>
      </c>
      <c r="M101" s="135" t="s">
        <v>150</v>
      </c>
      <c r="N101" s="135"/>
      <c r="O101" s="187">
        <f>K98/N43</f>
        <v>34.0857142857143</v>
      </c>
      <c r="P101" s="1" t="s">
        <v>94</v>
      </c>
    </row>
    <row r="102" s="1" customFormat="1" spans="9:16">
      <c r="I102" s="135" t="s">
        <v>151</v>
      </c>
      <c r="J102" s="135"/>
      <c r="K102" s="187">
        <f>K99-(N43*O102)</f>
        <v>0</v>
      </c>
      <c r="L102" s="1" t="s">
        <v>91</v>
      </c>
      <c r="M102" s="135" t="s">
        <v>152</v>
      </c>
      <c r="N102" s="135"/>
      <c r="O102" s="187">
        <f>K99/N43</f>
        <v>72.7220779220779</v>
      </c>
      <c r="P102" s="1" t="s">
        <v>94</v>
      </c>
    </row>
    <row r="103" s="1" customFormat="1" spans="9:16">
      <c r="I103" s="135" t="s">
        <v>153</v>
      </c>
      <c r="J103" s="135"/>
      <c r="K103" s="187">
        <f>K100-(N43*O103)</f>
        <v>0</v>
      </c>
      <c r="L103" s="1" t="s">
        <v>91</v>
      </c>
      <c r="M103" s="135" t="s">
        <v>154</v>
      </c>
      <c r="N103" s="135"/>
      <c r="O103" s="187">
        <f>K100/N43</f>
        <v>145.449350649351</v>
      </c>
      <c r="P103" s="1" t="s">
        <v>94</v>
      </c>
    </row>
    <row r="104" s="1" customFormat="1" spans="9:12">
      <c r="I104" s="135" t="s">
        <v>155</v>
      </c>
      <c r="J104" s="135"/>
      <c r="K104" s="187">
        <f>(J42*O101)+K101</f>
        <v>130889.142857143</v>
      </c>
      <c r="L104" s="1" t="s">
        <v>91</v>
      </c>
    </row>
    <row r="105" s="1" customFormat="1" spans="9:12">
      <c r="I105" s="135" t="s">
        <v>156</v>
      </c>
      <c r="J105" s="135"/>
      <c r="K105" s="187">
        <f>(J42*O102)+K102</f>
        <v>279252.779220779</v>
      </c>
      <c r="L105" s="1" t="s">
        <v>91</v>
      </c>
    </row>
    <row r="106" s="1" customFormat="1" spans="9:12">
      <c r="I106" s="135" t="s">
        <v>157</v>
      </c>
      <c r="J106" s="135"/>
      <c r="K106" s="187">
        <f>(J42*O103)+K103</f>
        <v>558525.506493506</v>
      </c>
      <c r="L106" s="1" t="s">
        <v>91</v>
      </c>
    </row>
    <row r="107" s="1" customFormat="1" spans="8:8">
      <c r="H107" s="1" t="s">
        <v>158</v>
      </c>
    </row>
    <row r="108" s="1" customFormat="1" spans="9:12">
      <c r="I108" s="188" t="s">
        <v>159</v>
      </c>
      <c r="J108" s="188"/>
      <c r="K108" s="187">
        <f t="shared" ref="K108:K110" si="0">K104/12</f>
        <v>10907.4285714286</v>
      </c>
      <c r="L108" s="1" t="s">
        <v>94</v>
      </c>
    </row>
    <row r="109" s="1" customFormat="1" spans="9:12">
      <c r="I109" s="188" t="s">
        <v>160</v>
      </c>
      <c r="J109" s="188"/>
      <c r="K109" s="187">
        <f t="shared" si="0"/>
        <v>23271.0649350649</v>
      </c>
      <c r="L109" s="1" t="s">
        <v>94</v>
      </c>
    </row>
    <row r="110" s="1" customFormat="1" spans="9:12">
      <c r="I110" s="188" t="s">
        <v>161</v>
      </c>
      <c r="J110" s="188"/>
      <c r="K110" s="187">
        <f t="shared" si="0"/>
        <v>46543.7922077922</v>
      </c>
      <c r="L110" s="1" t="s">
        <v>94</v>
      </c>
    </row>
    <row r="111" s="1" customFormat="1" spans="7:7">
      <c r="G111" s="1" t="s">
        <v>162</v>
      </c>
    </row>
    <row r="112" s="1" customFormat="1" spans="8:8">
      <c r="H112" s="1" t="s">
        <v>163</v>
      </c>
    </row>
    <row r="113" s="1" customFormat="1" spans="8:8">
      <c r="H113" s="1" t="s">
        <v>164</v>
      </c>
    </row>
    <row r="114" s="1" customFormat="1" spans="9:16">
      <c r="I114" s="135" t="s">
        <v>115</v>
      </c>
      <c r="J114" s="135"/>
      <c r="K114" s="181">
        <f>N43</f>
        <v>3850</v>
      </c>
      <c r="L114" s="1" t="s">
        <v>91</v>
      </c>
      <c r="M114" s="135" t="s">
        <v>117</v>
      </c>
      <c r="N114" s="135"/>
      <c r="O114" s="177">
        <f>K114*10</f>
        <v>38500</v>
      </c>
      <c r="P114" s="1" t="s">
        <v>111</v>
      </c>
    </row>
    <row r="115" s="1" customFormat="1" spans="9:12">
      <c r="I115" s="135" t="s">
        <v>165</v>
      </c>
      <c r="J115" s="135"/>
      <c r="K115" s="179">
        <f>(O114/$H$14)*1000</f>
        <v>19.25</v>
      </c>
      <c r="L115" s="1" t="s">
        <v>18</v>
      </c>
    </row>
    <row r="116" s="1" customFormat="1" spans="8:8">
      <c r="H116" s="1" t="s">
        <v>166</v>
      </c>
    </row>
    <row r="117" s="1" customFormat="1" spans="9:16">
      <c r="I117" s="135" t="s">
        <v>115</v>
      </c>
      <c r="J117" s="135"/>
      <c r="K117" s="181">
        <f>N44</f>
        <v>138</v>
      </c>
      <c r="L117" s="1" t="s">
        <v>91</v>
      </c>
      <c r="M117" s="135" t="s">
        <v>117</v>
      </c>
      <c r="N117" s="135"/>
      <c r="O117" s="177">
        <f>K117*10</f>
        <v>1380</v>
      </c>
      <c r="P117" s="1" t="s">
        <v>111</v>
      </c>
    </row>
    <row r="118" s="1" customFormat="1" spans="9:12">
      <c r="I118" s="135" t="s">
        <v>135</v>
      </c>
      <c r="J118" s="135"/>
      <c r="K118" s="179">
        <f>(O117/$H$14)*1000</f>
        <v>0.69</v>
      </c>
      <c r="L118" s="1" t="s">
        <v>18</v>
      </c>
    </row>
    <row r="119" s="1" customFormat="1" spans="8:8">
      <c r="H119" s="1" t="s">
        <v>167</v>
      </c>
    </row>
    <row r="120" s="1" customFormat="1" spans="9:16">
      <c r="I120" s="135" t="s">
        <v>135</v>
      </c>
      <c r="J120" s="135"/>
      <c r="K120" s="180">
        <f>(K115*J43)+K118</f>
        <v>0.69</v>
      </c>
      <c r="L120" s="1" t="s">
        <v>18</v>
      </c>
      <c r="M120" s="135" t="s">
        <v>121</v>
      </c>
      <c r="N120" s="135"/>
      <c r="O120" s="177">
        <v>0</v>
      </c>
      <c r="P120" s="1" t="s">
        <v>18</v>
      </c>
    </row>
    <row r="121" s="1" customFormat="1" spans="8:8">
      <c r="H121" s="1" t="s">
        <v>168</v>
      </c>
    </row>
    <row r="122" s="1" customFormat="1" spans="9:16">
      <c r="I122" s="135" t="s">
        <v>169</v>
      </c>
      <c r="J122" s="135"/>
      <c r="K122" s="177">
        <f>(($H$5-$N$13)-(K115*O122))</f>
        <v>0.75</v>
      </c>
      <c r="L122" s="1" t="s">
        <v>18</v>
      </c>
      <c r="M122" s="135" t="s">
        <v>170</v>
      </c>
      <c r="N122" s="135"/>
      <c r="O122" s="177">
        <f>INT(($H$5-$N$13)/K115)</f>
        <v>1</v>
      </c>
      <c r="P122" s="1" t="s">
        <v>94</v>
      </c>
    </row>
    <row r="123" s="1" customFormat="1" spans="9:16">
      <c r="I123" s="135" t="s">
        <v>171</v>
      </c>
      <c r="J123" s="135"/>
      <c r="K123" s="177">
        <f>(J42*O122)+O123</f>
        <v>3980</v>
      </c>
      <c r="L123" s="1" t="s">
        <v>91</v>
      </c>
      <c r="M123" s="135" t="s">
        <v>172</v>
      </c>
      <c r="N123" s="135"/>
      <c r="O123" s="177">
        <f>((K122*$H$14)/1000)/10-N42</f>
        <v>140</v>
      </c>
      <c r="P123" s="1" t="s">
        <v>91</v>
      </c>
    </row>
    <row r="124" s="1" customFormat="1" spans="8:8">
      <c r="H124" s="1" t="s">
        <v>173</v>
      </c>
    </row>
    <row r="125" s="1" customFormat="1" spans="9:12">
      <c r="I125" s="135" t="s">
        <v>14</v>
      </c>
      <c r="J125" s="135"/>
      <c r="K125" s="189">
        <f>K123/12</f>
        <v>331.666666666667</v>
      </c>
      <c r="L125" s="1" t="s">
        <v>94</v>
      </c>
    </row>
  </sheetData>
  <mergeCells count="162">
    <mergeCell ref="E4:Q4"/>
    <mergeCell ref="F5:G5"/>
    <mergeCell ref="L5:M5"/>
    <mergeCell ref="F6:G6"/>
    <mergeCell ref="L6:M6"/>
    <mergeCell ref="F7:G7"/>
    <mergeCell ref="L7:M7"/>
    <mergeCell ref="F8:G8"/>
    <mergeCell ref="L8:M8"/>
    <mergeCell ref="F9:G9"/>
    <mergeCell ref="F10:G10"/>
    <mergeCell ref="F11:G11"/>
    <mergeCell ref="L11:M11"/>
    <mergeCell ref="F12:G12"/>
    <mergeCell ref="L12:M12"/>
    <mergeCell ref="L13:M13"/>
    <mergeCell ref="F14:G14"/>
    <mergeCell ref="F15:G15"/>
    <mergeCell ref="L15:M15"/>
    <mergeCell ref="P15:Q15"/>
    <mergeCell ref="F16:G16"/>
    <mergeCell ref="L16:M16"/>
    <mergeCell ref="F17:G17"/>
    <mergeCell ref="K17:O17"/>
    <mergeCell ref="P17:Q17"/>
    <mergeCell ref="F18:G18"/>
    <mergeCell ref="L18:M18"/>
    <mergeCell ref="P18:Q18"/>
    <mergeCell ref="E20:Q20"/>
    <mergeCell ref="G21:J21"/>
    <mergeCell ref="K21:L21"/>
    <mergeCell ref="G22:H22"/>
    <mergeCell ref="I22:J22"/>
    <mergeCell ref="K22:L22"/>
    <mergeCell ref="E23:F23"/>
    <mergeCell ref="G23:H23"/>
    <mergeCell ref="I23:J23"/>
    <mergeCell ref="K23:L23"/>
    <mergeCell ref="E24:F24"/>
    <mergeCell ref="G24:H24"/>
    <mergeCell ref="I24:J24"/>
    <mergeCell ref="K24:L24"/>
    <mergeCell ref="E25:F25"/>
    <mergeCell ref="G25:H25"/>
    <mergeCell ref="I25:J25"/>
    <mergeCell ref="K25:L25"/>
    <mergeCell ref="E26:F26"/>
    <mergeCell ref="G26:H26"/>
    <mergeCell ref="I26:J26"/>
    <mergeCell ref="K26:L26"/>
    <mergeCell ref="E27:F27"/>
    <mergeCell ref="G27:H27"/>
    <mergeCell ref="I27:J27"/>
    <mergeCell ref="K27:L27"/>
    <mergeCell ref="E29:Q29"/>
    <mergeCell ref="H32:I32"/>
    <mergeCell ref="L32:M32"/>
    <mergeCell ref="P32:Q32"/>
    <mergeCell ref="H33:I33"/>
    <mergeCell ref="L33:M33"/>
    <mergeCell ref="H34:I34"/>
    <mergeCell ref="H36:I36"/>
    <mergeCell ref="L36:M36"/>
    <mergeCell ref="H37:I37"/>
    <mergeCell ref="L37:M37"/>
    <mergeCell ref="H40:I40"/>
    <mergeCell ref="L40:Q40"/>
    <mergeCell ref="H42:I42"/>
    <mergeCell ref="L42:M42"/>
    <mergeCell ref="H43:I43"/>
    <mergeCell ref="L43:M43"/>
    <mergeCell ref="H44:I44"/>
    <mergeCell ref="L44:M44"/>
    <mergeCell ref="H48:I48"/>
    <mergeCell ref="L48:M48"/>
    <mergeCell ref="P48:Q48"/>
    <mergeCell ref="I50:J50"/>
    <mergeCell ref="I51:J51"/>
    <mergeCell ref="M51:N51"/>
    <mergeCell ref="I53:J53"/>
    <mergeCell ref="I54:J54"/>
    <mergeCell ref="M54:N54"/>
    <mergeCell ref="I56:J56"/>
    <mergeCell ref="I57:J57"/>
    <mergeCell ref="M57:N57"/>
    <mergeCell ref="I58:J58"/>
    <mergeCell ref="M58:N58"/>
    <mergeCell ref="I60:J60"/>
    <mergeCell ref="I61:J61"/>
    <mergeCell ref="M61:N61"/>
    <mergeCell ref="I62:J62"/>
    <mergeCell ref="M62:N62"/>
    <mergeCell ref="I64:J64"/>
    <mergeCell ref="M64:N64"/>
    <mergeCell ref="I66:J66"/>
    <mergeCell ref="M66:N66"/>
    <mergeCell ref="I67:J67"/>
    <mergeCell ref="M67:N67"/>
    <mergeCell ref="I68:J68"/>
    <mergeCell ref="M68:N68"/>
    <mergeCell ref="I74:J74"/>
    <mergeCell ref="M74:N74"/>
    <mergeCell ref="I75:J75"/>
    <mergeCell ref="I76:J76"/>
    <mergeCell ref="I77:J77"/>
    <mergeCell ref="I79:J79"/>
    <mergeCell ref="M79:N79"/>
    <mergeCell ref="I80:J80"/>
    <mergeCell ref="I81:J81"/>
    <mergeCell ref="I82:J82"/>
    <mergeCell ref="I84:J84"/>
    <mergeCell ref="M84:N84"/>
    <mergeCell ref="I85:J85"/>
    <mergeCell ref="I86:J86"/>
    <mergeCell ref="I87:J87"/>
    <mergeCell ref="I89:J89"/>
    <mergeCell ref="M89:N89"/>
    <mergeCell ref="I90:J90"/>
    <mergeCell ref="I91:J91"/>
    <mergeCell ref="I92:J92"/>
    <mergeCell ref="I94:J94"/>
    <mergeCell ref="M94:N94"/>
    <mergeCell ref="I95:J95"/>
    <mergeCell ref="I96:J96"/>
    <mergeCell ref="I98:J98"/>
    <mergeCell ref="M98:N98"/>
    <mergeCell ref="I99:J99"/>
    <mergeCell ref="M99:N99"/>
    <mergeCell ref="I100:J100"/>
    <mergeCell ref="M100:N100"/>
    <mergeCell ref="I101:J101"/>
    <mergeCell ref="M101:N101"/>
    <mergeCell ref="I102:J102"/>
    <mergeCell ref="M102:N102"/>
    <mergeCell ref="I103:J103"/>
    <mergeCell ref="M103:N103"/>
    <mergeCell ref="I104:J104"/>
    <mergeCell ref="I105:J105"/>
    <mergeCell ref="I106:J106"/>
    <mergeCell ref="I108:J108"/>
    <mergeCell ref="I109:J109"/>
    <mergeCell ref="I110:J110"/>
    <mergeCell ref="I114:J114"/>
    <mergeCell ref="M114:N114"/>
    <mergeCell ref="I115:J115"/>
    <mergeCell ref="I117:J117"/>
    <mergeCell ref="M117:N117"/>
    <mergeCell ref="I118:J118"/>
    <mergeCell ref="I120:J120"/>
    <mergeCell ref="M120:N120"/>
    <mergeCell ref="I122:J122"/>
    <mergeCell ref="M122:N122"/>
    <mergeCell ref="I123:J123"/>
    <mergeCell ref="M123:N123"/>
    <mergeCell ref="I125:J125"/>
    <mergeCell ref="E5:E12"/>
    <mergeCell ref="E14:E18"/>
    <mergeCell ref="K5:K8"/>
    <mergeCell ref="K12:K13"/>
    <mergeCell ref="K15:K16"/>
    <mergeCell ref="D2:V3"/>
    <mergeCell ref="E21:F22"/>
  </mergeCells>
  <dataValidations count="2">
    <dataValidation type="list" allowBlank="1" showInputMessage="1" showErrorMessage="1" sqref="H11">
      <formula1>"1T1R,1T3R,2T4R"</formula1>
    </dataValidation>
    <dataValidation type="list" allowBlank="1" showInputMessage="1" showErrorMessage="1" sqref="H12">
      <formula1>"1DFFT,2DFFT"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V35"/>
  <sheetViews>
    <sheetView showGridLines="0" tabSelected="1" zoomScale="145" zoomScaleNormal="145" topLeftCell="A13" workbookViewId="0">
      <selection activeCell="P33" sqref="P33"/>
    </sheetView>
  </sheetViews>
  <sheetFormatPr defaultColWidth="9" defaultRowHeight="15"/>
  <cols>
    <col min="1" max="3" width="2.625" style="1" customWidth="1"/>
    <col min="4" max="7" width="9" style="1"/>
    <col min="8" max="8" width="9.5" style="1" customWidth="1"/>
    <col min="9" max="10" width="9" style="1"/>
    <col min="11" max="11" width="9" style="1" customWidth="1"/>
    <col min="12" max="12" width="9" style="1"/>
    <col min="13" max="13" width="11.5" style="1"/>
    <col min="14" max="14" width="9.5" style="1" customWidth="1"/>
    <col min="15" max="15" width="9.50833333333333" style="1" customWidth="1"/>
    <col min="16" max="22" width="9" style="1"/>
    <col min="23" max="25" width="2.625" style="1" customWidth="1"/>
    <col min="26" max="16384" width="9" style="1"/>
  </cols>
  <sheetData>
    <row r="2" s="1" customFormat="1" ht="14.25" customHeight="1" spans="4:22">
      <c r="D2" s="2" t="s">
        <v>198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="1" customFormat="1" ht="14.25" customHeight="1" spans="4:22"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="1" customFormat="1" ht="15.75" spans="5:19">
      <c r="E4" s="3" t="s">
        <v>199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6" s="1" customFormat="1" spans="5:22">
      <c r="E6" s="5"/>
      <c r="F6" s="32" t="s">
        <v>200</v>
      </c>
      <c r="G6" s="33"/>
      <c r="H6" s="33"/>
      <c r="I6" s="33"/>
      <c r="J6" s="33"/>
      <c r="K6" s="33"/>
      <c r="L6" s="53" t="s">
        <v>201</v>
      </c>
      <c r="M6" s="54" t="s">
        <v>202</v>
      </c>
      <c r="O6" s="55" t="s">
        <v>203</v>
      </c>
      <c r="P6" s="55"/>
      <c r="Q6" s="55"/>
      <c r="R6" s="55"/>
      <c r="S6" s="22"/>
      <c r="T6" s="22"/>
      <c r="U6" s="22"/>
      <c r="V6" s="22"/>
    </row>
    <row r="7" s="1" customFormat="1" spans="5:22">
      <c r="E7" s="5"/>
      <c r="F7" s="34" t="s">
        <v>204</v>
      </c>
      <c r="G7" s="35" t="s">
        <v>205</v>
      </c>
      <c r="H7" s="36" t="s">
        <v>206</v>
      </c>
      <c r="I7" s="36"/>
      <c r="J7" s="36"/>
      <c r="K7" s="56">
        <v>512</v>
      </c>
      <c r="L7" s="57">
        <f>Q8</f>
        <v>10.64</v>
      </c>
      <c r="M7" s="58">
        <f>$R$8+($K$7+$K$8+($R$9*$K$9)+($R$10*$K$10)+($R$11*$K$11))/1024</f>
        <v>11.6075</v>
      </c>
      <c r="O7" s="55"/>
      <c r="P7" s="55"/>
      <c r="Q7" s="90" t="s">
        <v>207</v>
      </c>
      <c r="R7" s="91" t="s">
        <v>208</v>
      </c>
      <c r="S7" s="92"/>
      <c r="T7" s="93"/>
      <c r="U7" s="93"/>
      <c r="V7" s="93"/>
    </row>
    <row r="8" s="1" customFormat="1" spans="5:22">
      <c r="E8" s="5"/>
      <c r="F8" s="34"/>
      <c r="G8" s="35"/>
      <c r="H8" s="36" t="s">
        <v>209</v>
      </c>
      <c r="I8" s="36"/>
      <c r="J8" s="36"/>
      <c r="K8" s="56">
        <v>1024</v>
      </c>
      <c r="L8" s="59"/>
      <c r="M8" s="60"/>
      <c r="O8" s="61" t="s">
        <v>205</v>
      </c>
      <c r="P8" s="61"/>
      <c r="Q8" s="94">
        <v>10.64</v>
      </c>
      <c r="R8" s="95">
        <v>7.92</v>
      </c>
      <c r="S8" s="92"/>
      <c r="T8" s="93"/>
      <c r="U8" s="93"/>
      <c r="V8" s="93"/>
    </row>
    <row r="9" s="1" customFormat="1" spans="5:22">
      <c r="E9" s="5"/>
      <c r="F9" s="34"/>
      <c r="G9" s="35"/>
      <c r="H9" s="36" t="s">
        <v>210</v>
      </c>
      <c r="I9" s="36"/>
      <c r="J9" s="36"/>
      <c r="K9" s="56">
        <v>64</v>
      </c>
      <c r="L9" s="59"/>
      <c r="M9" s="60"/>
      <c r="O9" s="61" t="s">
        <v>211</v>
      </c>
      <c r="P9" s="61"/>
      <c r="Q9" s="90" t="s">
        <v>212</v>
      </c>
      <c r="R9" s="95">
        <v>20</v>
      </c>
      <c r="S9" s="92"/>
      <c r="T9" s="93"/>
      <c r="U9" s="93"/>
      <c r="V9" s="93"/>
    </row>
    <row r="10" s="1" customFormat="1" spans="5:22">
      <c r="E10" s="5"/>
      <c r="F10" s="34"/>
      <c r="G10" s="35"/>
      <c r="H10" s="36" t="s">
        <v>213</v>
      </c>
      <c r="I10" s="36"/>
      <c r="J10" s="36"/>
      <c r="K10" s="56">
        <v>16</v>
      </c>
      <c r="L10" s="59"/>
      <c r="M10" s="60"/>
      <c r="O10" s="61" t="s">
        <v>214</v>
      </c>
      <c r="P10" s="61"/>
      <c r="Q10" s="90" t="s">
        <v>212</v>
      </c>
      <c r="R10" s="95">
        <v>40</v>
      </c>
      <c r="S10" s="92"/>
      <c r="T10" s="93"/>
      <c r="U10" s="93"/>
      <c r="V10" s="93"/>
    </row>
    <row r="11" s="1" customFormat="1" spans="5:22">
      <c r="E11" s="5"/>
      <c r="F11" s="34"/>
      <c r="G11" s="35"/>
      <c r="H11" s="36" t="s">
        <v>215</v>
      </c>
      <c r="I11" s="36"/>
      <c r="J11" s="36"/>
      <c r="K11" s="56">
        <v>4</v>
      </c>
      <c r="L11" s="62"/>
      <c r="M11" s="63"/>
      <c r="O11" s="61" t="s">
        <v>216</v>
      </c>
      <c r="P11" s="61"/>
      <c r="Q11" s="90" t="s">
        <v>212</v>
      </c>
      <c r="R11" s="95">
        <v>80</v>
      </c>
      <c r="S11" s="92"/>
      <c r="T11" s="93"/>
      <c r="U11" s="93"/>
      <c r="V11" s="93"/>
    </row>
    <row r="12" s="1" customFormat="1" spans="5:22">
      <c r="E12" s="5"/>
      <c r="F12" s="34"/>
      <c r="G12" s="35" t="s">
        <v>217</v>
      </c>
      <c r="H12" s="36" t="s">
        <v>218</v>
      </c>
      <c r="I12" s="36"/>
      <c r="J12" s="36"/>
      <c r="K12" s="64" t="s">
        <v>219</v>
      </c>
      <c r="L12" s="12">
        <f>IF(K12="Y",$Q$12,0)</f>
        <v>0.34</v>
      </c>
      <c r="M12" s="65">
        <f>IF(K12="Y",$R$12,0)</f>
        <v>0.44</v>
      </c>
      <c r="O12" s="61" t="s">
        <v>220</v>
      </c>
      <c r="P12" s="61"/>
      <c r="Q12" s="94">
        <v>0.34</v>
      </c>
      <c r="R12" s="95">
        <v>0.44</v>
      </c>
      <c r="S12" s="92"/>
      <c r="T12" s="93"/>
      <c r="U12" s="93"/>
      <c r="V12" s="93"/>
    </row>
    <row r="13" s="1" customFormat="1" spans="5:22">
      <c r="E13" s="5"/>
      <c r="F13" s="34"/>
      <c r="G13" s="35"/>
      <c r="H13" s="36" t="s">
        <v>46</v>
      </c>
      <c r="I13" s="36"/>
      <c r="J13" s="36"/>
      <c r="K13" s="64" t="s">
        <v>221</v>
      </c>
      <c r="L13" s="12">
        <f>IF(K13="Y",$Q$13,0)</f>
        <v>0</v>
      </c>
      <c r="M13" s="65">
        <f>IF(K13="Y",$R$13,0)</f>
        <v>0</v>
      </c>
      <c r="O13" s="61" t="s">
        <v>222</v>
      </c>
      <c r="P13" s="61"/>
      <c r="Q13" s="94">
        <v>0.45</v>
      </c>
      <c r="R13" s="95">
        <v>0.53</v>
      </c>
      <c r="S13" s="92"/>
      <c r="T13" s="93"/>
      <c r="U13" s="93"/>
      <c r="V13" s="93"/>
    </row>
    <row r="14" s="1" customFormat="1" spans="5:22">
      <c r="E14" s="5"/>
      <c r="F14" s="34"/>
      <c r="G14" s="35"/>
      <c r="H14" s="36" t="s">
        <v>58</v>
      </c>
      <c r="I14" s="36"/>
      <c r="J14" s="36"/>
      <c r="K14" s="64" t="s">
        <v>221</v>
      </c>
      <c r="L14" s="12">
        <f>IF(K14="Y",$Q$14,0)</f>
        <v>0</v>
      </c>
      <c r="M14" s="65">
        <f>IF(K14="Y",$R$14,0)</f>
        <v>0</v>
      </c>
      <c r="O14" s="61" t="s">
        <v>223</v>
      </c>
      <c r="P14" s="61"/>
      <c r="Q14" s="94">
        <v>0.36</v>
      </c>
      <c r="R14" s="95">
        <v>1.28</v>
      </c>
      <c r="S14" s="92"/>
      <c r="T14" s="93"/>
      <c r="U14" s="93"/>
      <c r="V14" s="93"/>
    </row>
    <row r="15" s="1" customFormat="1" spans="5:22">
      <c r="E15" s="5"/>
      <c r="F15" s="34" t="s">
        <v>224</v>
      </c>
      <c r="G15" s="37" t="s">
        <v>225</v>
      </c>
      <c r="H15" s="38" t="s">
        <v>226</v>
      </c>
      <c r="I15" s="66"/>
      <c r="J15" s="67">
        <v>4</v>
      </c>
      <c r="K15" s="64" t="s">
        <v>219</v>
      </c>
      <c r="L15" s="12">
        <f>IF(K15="Y",$Q$15,0)</f>
        <v>3.03</v>
      </c>
      <c r="M15" s="68">
        <f>IF(K15="Y",((($R$16)*$J$15)+($K$10*12))/1024+$R$15,0)</f>
        <v>1.4475</v>
      </c>
      <c r="O15" s="61" t="s">
        <v>227</v>
      </c>
      <c r="P15" s="61"/>
      <c r="Q15" s="94">
        <v>3.03</v>
      </c>
      <c r="R15" s="95">
        <v>1.01</v>
      </c>
      <c r="S15" s="6"/>
      <c r="T15" s="93"/>
      <c r="U15" s="93"/>
      <c r="V15" s="93"/>
    </row>
    <row r="16" s="1" customFormat="1" spans="5:22">
      <c r="E16" s="5"/>
      <c r="F16" s="34"/>
      <c r="G16" s="39" t="s">
        <v>228</v>
      </c>
      <c r="H16" s="38" t="s">
        <v>229</v>
      </c>
      <c r="I16" s="69"/>
      <c r="J16" s="66"/>
      <c r="K16" s="64" t="s">
        <v>221</v>
      </c>
      <c r="L16" s="12">
        <f>IF(K16="Y",$Q$17,0)</f>
        <v>0</v>
      </c>
      <c r="M16" s="65">
        <f>IF(K16="Y",$R$17,0)</f>
        <v>0</v>
      </c>
      <c r="O16" s="61" t="s">
        <v>230</v>
      </c>
      <c r="P16" s="61"/>
      <c r="Q16" s="94"/>
      <c r="R16" s="95">
        <v>64</v>
      </c>
      <c r="S16" s="6"/>
      <c r="T16" s="93"/>
      <c r="U16" s="93"/>
      <c r="V16" s="93"/>
    </row>
    <row r="17" s="1" customFormat="1" spans="5:22">
      <c r="E17" s="5"/>
      <c r="F17" s="34"/>
      <c r="G17" s="40"/>
      <c r="H17" s="38" t="s">
        <v>231</v>
      </c>
      <c r="I17" s="69"/>
      <c r="J17" s="66"/>
      <c r="K17" s="64" t="s">
        <v>221</v>
      </c>
      <c r="L17" s="12">
        <f>IF(K17="Y",$Q$18,0)</f>
        <v>0</v>
      </c>
      <c r="M17" s="65">
        <f>IF(K17="Y",$R$18,0)</f>
        <v>0</v>
      </c>
      <c r="O17" s="61" t="s">
        <v>229</v>
      </c>
      <c r="P17" s="61"/>
      <c r="Q17" s="94">
        <v>0</v>
      </c>
      <c r="R17" s="95">
        <v>0</v>
      </c>
      <c r="S17" s="6"/>
      <c r="T17" s="93"/>
      <c r="U17" s="93"/>
      <c r="V17" s="93"/>
    </row>
    <row r="18" s="1" customFormat="1" spans="5:22">
      <c r="E18" s="5"/>
      <c r="F18" s="34"/>
      <c r="G18" s="35" t="s">
        <v>232</v>
      </c>
      <c r="H18" s="36" t="s">
        <v>233</v>
      </c>
      <c r="I18" s="36"/>
      <c r="J18" s="36"/>
      <c r="K18" s="64" t="s">
        <v>221</v>
      </c>
      <c r="L18" s="12">
        <f>IF(K18="Y",$Q$20,0)</f>
        <v>0</v>
      </c>
      <c r="M18" s="65">
        <f>IF(K18="Y",$R$20,0)</f>
        <v>0</v>
      </c>
      <c r="O18" s="61" t="s">
        <v>231</v>
      </c>
      <c r="P18" s="61"/>
      <c r="Q18" s="94">
        <v>2.78</v>
      </c>
      <c r="R18" s="95">
        <v>0.13</v>
      </c>
      <c r="S18" s="6"/>
      <c r="T18" s="93"/>
      <c r="U18" s="93"/>
      <c r="V18" s="93"/>
    </row>
    <row r="19" s="1" customFormat="1" spans="5:22">
      <c r="E19" s="5"/>
      <c r="F19" s="41" t="s">
        <v>234</v>
      </c>
      <c r="G19" s="39" t="s">
        <v>235</v>
      </c>
      <c r="H19" s="38" t="s">
        <v>236</v>
      </c>
      <c r="I19" s="66"/>
      <c r="J19" s="70">
        <v>32</v>
      </c>
      <c r="K19" s="71" t="s">
        <v>221</v>
      </c>
      <c r="L19" s="72">
        <f>IF(K19="Y",3.75,0)</f>
        <v>0</v>
      </c>
      <c r="M19" s="73">
        <f>IF(K19="Y",($R$23*$J$20)/1024,0)</f>
        <v>0</v>
      </c>
      <c r="O19" s="61"/>
      <c r="P19" s="61"/>
      <c r="Q19" s="94"/>
      <c r="R19" s="95"/>
      <c r="S19" s="6"/>
      <c r="T19" s="93"/>
      <c r="U19" s="93"/>
      <c r="V19" s="93"/>
    </row>
    <row r="20" s="1" customFormat="1" spans="5:19">
      <c r="E20" s="5"/>
      <c r="F20" s="42"/>
      <c r="G20" s="43"/>
      <c r="H20" s="38" t="s">
        <v>237</v>
      </c>
      <c r="I20" s="66"/>
      <c r="J20" s="74">
        <v>1</v>
      </c>
      <c r="K20" s="75"/>
      <c r="L20" s="72"/>
      <c r="M20" s="76"/>
      <c r="O20" s="61" t="s">
        <v>232</v>
      </c>
      <c r="P20" s="61"/>
      <c r="Q20" s="94">
        <v>0.17</v>
      </c>
      <c r="R20" s="91">
        <v>0.42</v>
      </c>
      <c r="S20" s="6"/>
    </row>
    <row r="21" s="1" customFormat="1" spans="5:19">
      <c r="E21" s="5"/>
      <c r="F21" s="42"/>
      <c r="G21" s="35" t="s">
        <v>238</v>
      </c>
      <c r="H21" s="38" t="s">
        <v>239</v>
      </c>
      <c r="I21" s="66"/>
      <c r="J21" s="74">
        <v>768</v>
      </c>
      <c r="K21" s="71" t="s">
        <v>221</v>
      </c>
      <c r="L21" s="77">
        <v>0</v>
      </c>
      <c r="M21" s="73">
        <f>IF(K21="Y",($R$23*$J$20)/1024,0)</f>
        <v>0</v>
      </c>
      <c r="O21" s="61"/>
      <c r="P21" s="61"/>
      <c r="Q21" s="94"/>
      <c r="R21" s="91"/>
      <c r="S21" s="6"/>
    </row>
    <row r="22" s="1" customFormat="1" ht="15.75" spans="5:19">
      <c r="E22" s="5"/>
      <c r="F22" s="44"/>
      <c r="G22" s="45"/>
      <c r="H22" s="46" t="s">
        <v>240</v>
      </c>
      <c r="I22" s="78"/>
      <c r="J22" s="79">
        <v>256</v>
      </c>
      <c r="K22" s="80"/>
      <c r="L22" s="81"/>
      <c r="M22" s="82"/>
      <c r="O22" s="61"/>
      <c r="P22" s="61"/>
      <c r="Q22" s="94"/>
      <c r="R22" s="91"/>
      <c r="S22" s="6"/>
    </row>
    <row r="23" s="1" customFormat="1" ht="15.75" spans="5:19">
      <c r="E23" s="5"/>
      <c r="F23" s="47" t="s">
        <v>241</v>
      </c>
      <c r="G23" s="48"/>
      <c r="H23" s="48"/>
      <c r="I23" s="48"/>
      <c r="J23" s="48"/>
      <c r="K23" s="48"/>
      <c r="L23" s="83">
        <f>SUM(L7:L19)</f>
        <v>14.01</v>
      </c>
      <c r="M23" s="84">
        <f>SUM(M7:M19)</f>
        <v>13.495</v>
      </c>
      <c r="O23" s="61" t="s">
        <v>242</v>
      </c>
      <c r="P23" s="61"/>
      <c r="Q23" s="91" t="s">
        <v>212</v>
      </c>
      <c r="R23" s="91">
        <v>3864</v>
      </c>
      <c r="S23" s="6"/>
    </row>
    <row r="24" s="1" customFormat="1" spans="5:22">
      <c r="E24" s="5"/>
      <c r="F24" s="6"/>
      <c r="G24" s="6"/>
      <c r="H24" s="6"/>
      <c r="I24" s="6"/>
      <c r="P24" s="22"/>
      <c r="Q24" s="22"/>
      <c r="R24" s="22"/>
      <c r="S24" s="22"/>
      <c r="T24" s="22"/>
      <c r="U24" s="22"/>
      <c r="V24" s="22"/>
    </row>
    <row r="25" s="1" customFormat="1" spans="5:22">
      <c r="E25" s="5"/>
      <c r="F25" s="6"/>
      <c r="G25" s="6"/>
      <c r="H25" s="6"/>
      <c r="I25" s="6"/>
      <c r="P25" s="22"/>
      <c r="Q25" s="22"/>
      <c r="R25" s="22"/>
      <c r="S25" s="22"/>
      <c r="T25" s="22"/>
      <c r="U25" s="22"/>
      <c r="V25" s="22"/>
    </row>
    <row r="26" s="1" customFormat="1" ht="15.75" spans="5:22">
      <c r="E26" s="3" t="s">
        <v>243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22"/>
      <c r="U26" s="22"/>
      <c r="V26" s="22"/>
    </row>
    <row r="27" s="1" customFormat="1" ht="15.75" spans="6:6">
      <c r="F27" s="7"/>
    </row>
    <row r="28" spans="6:13">
      <c r="F28" s="32" t="s">
        <v>244</v>
      </c>
      <c r="G28" s="33"/>
      <c r="H28" s="33"/>
      <c r="I28" s="33"/>
      <c r="J28" s="33"/>
      <c r="K28" s="33"/>
      <c r="L28" s="53" t="s">
        <v>201</v>
      </c>
      <c r="M28" s="54" t="s">
        <v>202</v>
      </c>
    </row>
    <row r="29" spans="6:13">
      <c r="F29" s="49" t="s">
        <v>245</v>
      </c>
      <c r="G29" s="37" t="s">
        <v>246</v>
      </c>
      <c r="H29" s="37"/>
      <c r="I29" s="37"/>
      <c r="J29" s="37"/>
      <c r="K29" s="37"/>
      <c r="L29" s="85">
        <v>17</v>
      </c>
      <c r="M29" s="86">
        <v>4.5</v>
      </c>
    </row>
    <row r="30" spans="6:13">
      <c r="F30" s="41" t="s">
        <v>234</v>
      </c>
      <c r="G30" s="50" t="s">
        <v>235</v>
      </c>
      <c r="H30" s="51" t="s">
        <v>236</v>
      </c>
      <c r="I30" s="87"/>
      <c r="J30" s="88">
        <v>32</v>
      </c>
      <c r="K30" s="75" t="s">
        <v>221</v>
      </c>
      <c r="L30" s="72">
        <f>IF(K30="Y",3.75,0)</f>
        <v>0</v>
      </c>
      <c r="M30" s="73">
        <f>IF(K30="Y",($R$23*$J$20)/1024,0)</f>
        <v>0</v>
      </c>
    </row>
    <row r="31" spans="6:13">
      <c r="F31" s="42"/>
      <c r="G31" s="43"/>
      <c r="H31" s="38" t="s">
        <v>247</v>
      </c>
      <c r="I31" s="66"/>
      <c r="J31" s="74">
        <v>1</v>
      </c>
      <c r="K31" s="75"/>
      <c r="L31" s="72"/>
      <c r="M31" s="76"/>
    </row>
    <row r="32" spans="6:13">
      <c r="F32" s="42"/>
      <c r="G32" s="35" t="s">
        <v>238</v>
      </c>
      <c r="H32" s="38" t="s">
        <v>239</v>
      </c>
      <c r="I32" s="66"/>
      <c r="J32" s="74">
        <v>768</v>
      </c>
      <c r="K32" s="71" t="s">
        <v>221</v>
      </c>
      <c r="L32" s="77">
        <v>0</v>
      </c>
      <c r="M32" s="73">
        <f>IF(K32="Y",($R$23*$J$20)/1024,0)</f>
        <v>0</v>
      </c>
    </row>
    <row r="33" spans="6:13">
      <c r="F33" s="42"/>
      <c r="G33" s="39"/>
      <c r="H33" s="52" t="s">
        <v>240</v>
      </c>
      <c r="I33" s="89"/>
      <c r="J33" s="74">
        <v>256</v>
      </c>
      <c r="K33" s="75"/>
      <c r="L33" s="77"/>
      <c r="M33" s="76"/>
    </row>
    <row r="34" ht="15.75" spans="6:13">
      <c r="F34" s="44"/>
      <c r="G34" s="45"/>
      <c r="H34" s="46" t="s">
        <v>248</v>
      </c>
      <c r="I34" s="78"/>
      <c r="J34" s="79">
        <v>2</v>
      </c>
      <c r="K34" s="80"/>
      <c r="L34" s="81"/>
      <c r="M34" s="82"/>
    </row>
    <row r="35" ht="15.75" spans="6:13">
      <c r="F35" s="47" t="s">
        <v>241</v>
      </c>
      <c r="G35" s="48"/>
      <c r="H35" s="48"/>
      <c r="I35" s="48"/>
      <c r="J35" s="48"/>
      <c r="K35" s="48"/>
      <c r="L35" s="83">
        <f>SUM(L29:L34)</f>
        <v>17</v>
      </c>
      <c r="M35" s="84">
        <f>SUM(M29:M34)</f>
        <v>4.5</v>
      </c>
    </row>
  </sheetData>
  <mergeCells count="68">
    <mergeCell ref="E4:S4"/>
    <mergeCell ref="F6:K6"/>
    <mergeCell ref="O6:R6"/>
    <mergeCell ref="H7:J7"/>
    <mergeCell ref="O7:P7"/>
    <mergeCell ref="H8:J8"/>
    <mergeCell ref="O8:P8"/>
    <mergeCell ref="H9:J9"/>
    <mergeCell ref="O9:P9"/>
    <mergeCell ref="H10:J10"/>
    <mergeCell ref="O10:P10"/>
    <mergeCell ref="H11:J11"/>
    <mergeCell ref="O11:P11"/>
    <mergeCell ref="H12:J12"/>
    <mergeCell ref="O12:P12"/>
    <mergeCell ref="H13:J13"/>
    <mergeCell ref="O13:P13"/>
    <mergeCell ref="H14:J14"/>
    <mergeCell ref="O14:P14"/>
    <mergeCell ref="H15:I15"/>
    <mergeCell ref="O15:P15"/>
    <mergeCell ref="H16:J16"/>
    <mergeCell ref="O16:P16"/>
    <mergeCell ref="H17:J17"/>
    <mergeCell ref="O17:P17"/>
    <mergeCell ref="H18:J18"/>
    <mergeCell ref="O18:P18"/>
    <mergeCell ref="H19:I19"/>
    <mergeCell ref="H20:I20"/>
    <mergeCell ref="O20:P20"/>
    <mergeCell ref="H21:I21"/>
    <mergeCell ref="H22:I22"/>
    <mergeCell ref="F23:K23"/>
    <mergeCell ref="O23:P23"/>
    <mergeCell ref="E26:S26"/>
    <mergeCell ref="F28:K28"/>
    <mergeCell ref="G29:K29"/>
    <mergeCell ref="H30:I30"/>
    <mergeCell ref="H31:I31"/>
    <mergeCell ref="H32:I32"/>
    <mergeCell ref="H34:I34"/>
    <mergeCell ref="F35:K35"/>
    <mergeCell ref="F7:F14"/>
    <mergeCell ref="F15:F18"/>
    <mergeCell ref="F19:F22"/>
    <mergeCell ref="F30:F34"/>
    <mergeCell ref="G7:G11"/>
    <mergeCell ref="G12:G14"/>
    <mergeCell ref="G16:G17"/>
    <mergeCell ref="G19:G20"/>
    <mergeCell ref="G21:G22"/>
    <mergeCell ref="G30:G31"/>
    <mergeCell ref="G32:G34"/>
    <mergeCell ref="K19:K20"/>
    <mergeCell ref="K21:K22"/>
    <mergeCell ref="K30:K31"/>
    <mergeCell ref="K32:K34"/>
    <mergeCell ref="L7:L11"/>
    <mergeCell ref="L19:L20"/>
    <mergeCell ref="L21:L22"/>
    <mergeCell ref="L30:L31"/>
    <mergeCell ref="L32:L34"/>
    <mergeCell ref="M7:M11"/>
    <mergeCell ref="M19:M20"/>
    <mergeCell ref="M21:M22"/>
    <mergeCell ref="M30:M31"/>
    <mergeCell ref="M32:M34"/>
    <mergeCell ref="D2:V3"/>
  </mergeCells>
  <dataValidations count="1">
    <dataValidation type="list" allowBlank="1" showInputMessage="1" showErrorMessage="1" sqref="K19 K21 K30 K32 K33 K12:K18">
      <formula1>"N,Y"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V25"/>
  <sheetViews>
    <sheetView showGridLines="0" zoomScale="115" zoomScaleNormal="115" topLeftCell="B1" workbookViewId="0">
      <selection activeCell="S17" sqref="S17"/>
    </sheetView>
  </sheetViews>
  <sheetFormatPr defaultColWidth="9" defaultRowHeight="15"/>
  <cols>
    <col min="1" max="3" width="2.625" style="1" customWidth="1"/>
    <col min="4" max="7" width="9" style="1"/>
    <col min="8" max="8" width="9.5" style="1" customWidth="1"/>
    <col min="9" max="10" width="9" style="1"/>
    <col min="11" max="11" width="9" style="1" customWidth="1"/>
    <col min="12" max="12" width="9" style="1"/>
    <col min="13" max="13" width="11.5" style="1"/>
    <col min="14" max="14" width="9.5" style="1" customWidth="1"/>
    <col min="15" max="15" width="9.50833333333333" style="1" customWidth="1"/>
    <col min="16" max="22" width="9" style="1"/>
    <col min="23" max="25" width="2.625" style="1" customWidth="1"/>
    <col min="26" max="16384" width="9" style="1"/>
  </cols>
  <sheetData>
    <row r="2" s="1" customFormat="1" ht="14.25" customHeight="1" spans="4:22">
      <c r="D2" s="2" t="s">
        <v>249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="1" customFormat="1" ht="14.25" customHeight="1" spans="4:22"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="1" customFormat="1" ht="15.75" spans="5:19">
      <c r="E4" s="3" t="s">
        <v>22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6" s="1" customFormat="1" spans="8:22">
      <c r="H6" s="4" t="s">
        <v>250</v>
      </c>
      <c r="I6" s="4"/>
      <c r="J6" s="21" t="s">
        <v>251</v>
      </c>
      <c r="K6" s="21"/>
      <c r="M6" s="4" t="s">
        <v>252</v>
      </c>
      <c r="N6" s="4"/>
      <c r="O6" s="21" t="s">
        <v>219</v>
      </c>
      <c r="P6" s="22"/>
      <c r="Q6" s="22"/>
      <c r="R6" s="22"/>
      <c r="S6" s="22"/>
      <c r="T6" s="22"/>
      <c r="U6" s="22"/>
      <c r="V6" s="22"/>
    </row>
    <row r="7" s="1" customFormat="1" spans="5:22">
      <c r="E7" s="5"/>
      <c r="F7" s="6"/>
      <c r="G7" s="6"/>
      <c r="H7" s="6"/>
      <c r="I7" s="6"/>
      <c r="P7" s="22"/>
      <c r="Q7" s="22"/>
      <c r="R7" s="22"/>
      <c r="S7" s="22"/>
      <c r="T7" s="22"/>
      <c r="U7" s="22"/>
      <c r="V7" s="22"/>
    </row>
    <row r="8" s="1" customFormat="1" ht="15.75" spans="5:22">
      <c r="E8" s="3" t="s">
        <v>26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22"/>
      <c r="U8" s="22"/>
      <c r="V8" s="22"/>
    </row>
    <row r="9" s="1" customFormat="1" ht="15.75" spans="6:6">
      <c r="F9" s="7"/>
    </row>
    <row r="10" spans="6:14">
      <c r="F10" s="8" t="s">
        <v>253</v>
      </c>
      <c r="G10" s="9" t="s">
        <v>254</v>
      </c>
      <c r="H10" s="9" t="s">
        <v>255</v>
      </c>
      <c r="I10" s="9" t="s">
        <v>249</v>
      </c>
      <c r="J10" s="9" t="s">
        <v>256</v>
      </c>
      <c r="K10" s="9"/>
      <c r="L10" s="9"/>
      <c r="M10" s="9"/>
      <c r="N10" s="23"/>
    </row>
    <row r="11" spans="4:14">
      <c r="D11" s="10" t="s">
        <v>257</v>
      </c>
      <c r="F11" s="11" t="s">
        <v>258</v>
      </c>
      <c r="G11" s="12" t="s">
        <v>259</v>
      </c>
      <c r="H11" s="12" t="s">
        <v>260</v>
      </c>
      <c r="I11" s="24" t="s">
        <v>261</v>
      </c>
      <c r="J11" s="14"/>
      <c r="K11" s="14"/>
      <c r="L11" s="14"/>
      <c r="M11" s="14"/>
      <c r="N11" s="25"/>
    </row>
    <row r="12" spans="4:14">
      <c r="D12" s="1" t="s">
        <v>262</v>
      </c>
      <c r="F12" s="11"/>
      <c r="G12" s="12" t="s">
        <v>263</v>
      </c>
      <c r="H12" s="12" t="s">
        <v>264</v>
      </c>
      <c r="I12" s="24" t="s">
        <v>265</v>
      </c>
      <c r="J12" s="14"/>
      <c r="K12" s="14"/>
      <c r="L12" s="14"/>
      <c r="M12" s="14"/>
      <c r="N12" s="25"/>
    </row>
    <row r="13" spans="6:14">
      <c r="F13" s="11" t="s">
        <v>266</v>
      </c>
      <c r="G13" s="12" t="s">
        <v>259</v>
      </c>
      <c r="H13" s="12" t="s">
        <v>267</v>
      </c>
      <c r="I13" s="24" t="s">
        <v>261</v>
      </c>
      <c r="J13" s="14"/>
      <c r="K13" s="14"/>
      <c r="L13" s="14"/>
      <c r="M13" s="14"/>
      <c r="N13" s="25"/>
    </row>
    <row r="14" spans="6:14">
      <c r="F14" s="11"/>
      <c r="G14" s="12" t="s">
        <v>263</v>
      </c>
      <c r="H14" s="12" t="s">
        <v>268</v>
      </c>
      <c r="I14" s="24" t="s">
        <v>265</v>
      </c>
      <c r="J14" s="14"/>
      <c r="K14" s="14"/>
      <c r="L14" s="14"/>
      <c r="M14" s="14"/>
      <c r="N14" s="25"/>
    </row>
    <row r="15" ht="32" customHeight="1" spans="6:14">
      <c r="F15" s="11" t="s">
        <v>218</v>
      </c>
      <c r="G15" s="12" t="s">
        <v>269</v>
      </c>
      <c r="H15" s="12" t="s">
        <v>267</v>
      </c>
      <c r="I15" s="24" t="s">
        <v>265</v>
      </c>
      <c r="J15" s="26" t="s">
        <v>270</v>
      </c>
      <c r="K15" s="26"/>
      <c r="L15" s="26"/>
      <c r="M15" s="26"/>
      <c r="N15" s="27"/>
    </row>
    <row r="16" ht="32" customHeight="1" spans="6:14">
      <c r="F16" s="11"/>
      <c r="G16" s="12" t="s">
        <v>271</v>
      </c>
      <c r="H16" s="12" t="s">
        <v>268</v>
      </c>
      <c r="I16" s="24" t="s">
        <v>265</v>
      </c>
      <c r="J16" s="26" t="s">
        <v>272</v>
      </c>
      <c r="K16" s="26"/>
      <c r="L16" s="26"/>
      <c r="M16" s="26"/>
      <c r="N16" s="27"/>
    </row>
    <row r="17" ht="32" customHeight="1" spans="6:14">
      <c r="F17" s="11"/>
      <c r="G17" s="12" t="s">
        <v>273</v>
      </c>
      <c r="H17" s="12" t="s">
        <v>274</v>
      </c>
      <c r="I17" s="24" t="s">
        <v>249</v>
      </c>
      <c r="J17" s="26" t="s">
        <v>272</v>
      </c>
      <c r="K17" s="26"/>
      <c r="L17" s="26"/>
      <c r="M17" s="26"/>
      <c r="N17" s="27"/>
    </row>
    <row r="18" ht="32" customHeight="1" spans="6:14">
      <c r="F18" s="11"/>
      <c r="G18" s="12" t="s">
        <v>275</v>
      </c>
      <c r="H18" s="12" t="s">
        <v>276</v>
      </c>
      <c r="I18" s="24" t="s">
        <v>249</v>
      </c>
      <c r="J18" s="26" t="s">
        <v>272</v>
      </c>
      <c r="K18" s="26"/>
      <c r="L18" s="26"/>
      <c r="M18" s="26"/>
      <c r="N18" s="27"/>
    </row>
    <row r="19" ht="32" customHeight="1" spans="6:14">
      <c r="F19" s="11"/>
      <c r="G19" s="12" t="s">
        <v>277</v>
      </c>
      <c r="H19" s="12" t="s">
        <v>278</v>
      </c>
      <c r="I19" s="24" t="s">
        <v>249</v>
      </c>
      <c r="J19" s="26" t="s">
        <v>272</v>
      </c>
      <c r="K19" s="26"/>
      <c r="L19" s="26"/>
      <c r="M19" s="26"/>
      <c r="N19" s="27"/>
    </row>
    <row r="20" ht="32" customHeight="1" spans="6:14">
      <c r="F20" s="11"/>
      <c r="G20" s="12" t="s">
        <v>279</v>
      </c>
      <c r="H20" s="12" t="s">
        <v>280</v>
      </c>
      <c r="I20" s="24" t="s">
        <v>249</v>
      </c>
      <c r="J20" s="26" t="s">
        <v>272</v>
      </c>
      <c r="K20" s="26"/>
      <c r="L20" s="26"/>
      <c r="M20" s="26"/>
      <c r="N20" s="27"/>
    </row>
    <row r="21" spans="6:14">
      <c r="F21" s="11" t="s">
        <v>58</v>
      </c>
      <c r="G21" s="12" t="s">
        <v>281</v>
      </c>
      <c r="H21" s="12" t="s">
        <v>278</v>
      </c>
      <c r="I21" s="24" t="s">
        <v>249</v>
      </c>
      <c r="J21" s="14"/>
      <c r="K21" s="14"/>
      <c r="L21" s="14"/>
      <c r="M21" s="14"/>
      <c r="N21" s="25"/>
    </row>
    <row r="22" spans="6:14">
      <c r="F22" s="11"/>
      <c r="G22" s="12" t="s">
        <v>282</v>
      </c>
      <c r="H22" s="12" t="s">
        <v>280</v>
      </c>
      <c r="I22" s="24" t="s">
        <v>249</v>
      </c>
      <c r="J22" s="14"/>
      <c r="K22" s="14"/>
      <c r="L22" s="14"/>
      <c r="M22" s="14"/>
      <c r="N22" s="25"/>
    </row>
    <row r="23" ht="34" customHeight="1" spans="6:14">
      <c r="F23" s="11" t="s">
        <v>283</v>
      </c>
      <c r="G23" s="13" t="s">
        <v>283</v>
      </c>
      <c r="H23" s="14" t="s">
        <v>284</v>
      </c>
      <c r="I23" s="24" t="s">
        <v>261</v>
      </c>
      <c r="J23" s="26" t="s">
        <v>285</v>
      </c>
      <c r="K23" s="26"/>
      <c r="L23" s="26"/>
      <c r="M23" s="26"/>
      <c r="N23" s="27"/>
    </row>
    <row r="24" spans="6:14">
      <c r="F24" s="15" t="s">
        <v>286</v>
      </c>
      <c r="G24" s="16" t="s">
        <v>286</v>
      </c>
      <c r="H24" s="17" t="s">
        <v>286</v>
      </c>
      <c r="I24" s="28" t="s">
        <v>265</v>
      </c>
      <c r="J24" s="14" t="s">
        <v>287</v>
      </c>
      <c r="K24" s="14"/>
      <c r="L24" s="14"/>
      <c r="M24" s="14"/>
      <c r="N24" s="25"/>
    </row>
    <row r="25" ht="15.75" spans="6:14">
      <c r="F25" s="18"/>
      <c r="G25" s="19" t="s">
        <v>288</v>
      </c>
      <c r="H25" s="20" t="s">
        <v>260</v>
      </c>
      <c r="I25" s="29" t="s">
        <v>265</v>
      </c>
      <c r="J25" s="30" t="s">
        <v>289</v>
      </c>
      <c r="K25" s="30"/>
      <c r="L25" s="30"/>
      <c r="M25" s="30"/>
      <c r="N25" s="31"/>
    </row>
  </sheetData>
  <mergeCells count="27">
    <mergeCell ref="E4:S4"/>
    <mergeCell ref="H6:I6"/>
    <mergeCell ref="J6:K6"/>
    <mergeCell ref="M6:N6"/>
    <mergeCell ref="E8:S8"/>
    <mergeCell ref="J10:N10"/>
    <mergeCell ref="J11:N11"/>
    <mergeCell ref="J12:N12"/>
    <mergeCell ref="J13:N13"/>
    <mergeCell ref="J14:N14"/>
    <mergeCell ref="J15:N15"/>
    <mergeCell ref="J16:N16"/>
    <mergeCell ref="J17:N17"/>
    <mergeCell ref="J18:N18"/>
    <mergeCell ref="J19:N19"/>
    <mergeCell ref="J20:N20"/>
    <mergeCell ref="J21:N21"/>
    <mergeCell ref="J22:N22"/>
    <mergeCell ref="J23:N23"/>
    <mergeCell ref="J24:N24"/>
    <mergeCell ref="J25:N25"/>
    <mergeCell ref="F11:F12"/>
    <mergeCell ref="F13:F14"/>
    <mergeCell ref="F15:F20"/>
    <mergeCell ref="F21:F22"/>
    <mergeCell ref="F24:F25"/>
    <mergeCell ref="D2:V3"/>
  </mergeCells>
  <conditionalFormatting sqref="G23:I23">
    <cfRule type="expression" dxfId="0" priority="1">
      <formula>$J$6&lt;&gt;"UART"</formula>
    </cfRule>
  </conditionalFormatting>
  <conditionalFormatting sqref="G11:I12">
    <cfRule type="expression" dxfId="0" priority="7">
      <formula>OR($J$6="UART",AND($J$6&lt;&gt;"UART",$O$6="Y"))</formula>
    </cfRule>
  </conditionalFormatting>
  <conditionalFormatting sqref="G13:I14">
    <cfRule type="expression" dxfId="0" priority="2">
      <formula>AND($J$6="UART",$O$6="Y")</formula>
    </cfRule>
  </conditionalFormatting>
  <conditionalFormatting sqref="G15:I18">
    <cfRule type="expression" dxfId="0" priority="5">
      <formula>OR($J$6="SPI-Standard",$J$6="SPI-Dual")</formula>
    </cfRule>
  </conditionalFormatting>
  <conditionalFormatting sqref="G15:I20">
    <cfRule type="expression" dxfId="0" priority="4">
      <formula>$J$6="SPI-Quad"</formula>
    </cfRule>
  </conditionalFormatting>
  <conditionalFormatting sqref="G21:I22">
    <cfRule type="expression" dxfId="0" priority="3">
      <formula>$J$6="I2C"</formula>
    </cfRule>
  </conditionalFormatting>
  <dataValidations count="2">
    <dataValidation type="list" allowBlank="1" showInputMessage="1" showErrorMessage="1" sqref="J6">
      <formula1>"UART,SPI-Standard,SPI-Dual,SPI-Quad,I2C"</formula1>
    </dataValidation>
    <dataValidation type="list" allowBlank="1" showInputMessage="1" showErrorMessage="1" sqref="O6">
      <formula1>"Y,N"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Version</vt:lpstr>
      <vt:lpstr>Point Cloud</vt:lpstr>
      <vt:lpstr>Data Cube</vt:lpstr>
      <vt:lpstr>OtherData</vt:lpstr>
      <vt:lpstr>Memory</vt:lpstr>
      <vt:lpstr>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tangzhibin</cp:lastModifiedBy>
  <dcterms:created xsi:type="dcterms:W3CDTF">2015-06-05T18:19:00Z</dcterms:created>
  <dcterms:modified xsi:type="dcterms:W3CDTF">2026-06-30T07:03:16Z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2052-11.8.2.8576</vt:lpwstr>
  </property>
</Properties>
</file>